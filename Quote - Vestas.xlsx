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4560" windowHeight="18820" tabRatio="500" firstSheet="0" activeTab="8" autoFilterDateGrouping="1"/>
  </bookViews>
  <sheets>
    <sheet xmlns:r="http://schemas.openxmlformats.org/officeDocument/2006/relationships" name="Calculations" sheetId="1" state="visible" r:id="rId1"/>
    <sheet xmlns:r="http://schemas.openxmlformats.org/officeDocument/2006/relationships" name="SUB Price" sheetId="2" state="hidden" r:id="rId2"/>
    <sheet xmlns:r="http://schemas.openxmlformats.org/officeDocument/2006/relationships" name="Freight" sheetId="3" state="hidden" r:id="rId3"/>
    <sheet xmlns:r="http://schemas.openxmlformats.org/officeDocument/2006/relationships" name="Avery Prices" sheetId="4" state="hidden" r:id="rId4"/>
    <sheet xmlns:r="http://schemas.openxmlformats.org/officeDocument/2006/relationships" name="STOCKS from QP" sheetId="5" state="hidden" r:id="rId5"/>
    <sheet xmlns:r="http://schemas.openxmlformats.org/officeDocument/2006/relationships" name="Vutek - Std (FSPLIT)" sheetId="6" state="visible" r:id="rId6"/>
    <sheet xmlns:r="http://schemas.openxmlformats.org/officeDocument/2006/relationships" name="WORKSHEET" sheetId="7" state="visible" r:id="rId7"/>
    <sheet xmlns:r="http://schemas.openxmlformats.org/officeDocument/2006/relationships" name="STOCK" sheetId="8" state="visible" r:id="rId8"/>
    <sheet xmlns:r="http://schemas.openxmlformats.org/officeDocument/2006/relationships" name="UPDATES" sheetId="9" state="visible" r:id="rId9"/>
  </sheets>
  <externalReferences>
    <externalReference xmlns:r="http://schemas.openxmlformats.org/officeDocument/2006/relationships" r:id="rId10"/>
  </externalReferences>
  <definedNames>
    <definedName name="_xlnm.Print_Area" localSheetId="5">'Vutek - Std (FSPLIT)'!$A$3:$E$49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_-&quot;$&quot;* #,##0.00_-;\-&quot;$&quot;* #,##0.00_-;_-&quot;$&quot;* &quot;-&quot;??_-;_-@_-"/>
    <numFmt numFmtId="165" formatCode="0.0%"/>
    <numFmt numFmtId="166" formatCode="_(&quot;$&quot;* #,##0.00_);_(&quot;$&quot;* \(#,##0.00\);_(&quot;$&quot;* &quot;-&quot;??_);_(@_)"/>
    <numFmt numFmtId="167" formatCode="[$$-C09]#,##0.00;\-[$$-C09]#,##0.00"/>
    <numFmt numFmtId="168" formatCode="&quot;$&quot;#,##0.00_);[Red]\(&quot;$&quot;#,##0.00\)"/>
  </numFmts>
  <fonts count="46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4"/>
      <scheme val="minor"/>
    </font>
    <font>
      <name val="Calibri"/>
      <family val="2"/>
      <sz val="12"/>
      <scheme val="minor"/>
    </font>
    <font>
      <name val="Calibri"/>
      <family val="2"/>
      <color theme="0"/>
      <sz val="12"/>
      <scheme val="minor"/>
    </font>
    <font>
      <name val="Arial"/>
      <family val="2"/>
      <b val="1"/>
      <color rgb="FF000000"/>
      <sz val="11"/>
    </font>
    <font>
      <name val="Calibri"/>
      <family val="2"/>
      <b val="1"/>
      <color theme="1"/>
      <sz val="12"/>
      <u val="single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000000"/>
      <sz val="18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rgb="FF000000"/>
      <sz val="18"/>
      <scheme val="minor"/>
    </font>
    <font>
      <name val="Calibri"/>
      <family val="2"/>
      <i val="1"/>
      <color rgb="FF000000"/>
      <sz val="18"/>
      <scheme val="minor"/>
    </font>
    <font>
      <name val="Tahoma"/>
      <family val="2"/>
      <b val="1"/>
      <color rgb="FF202020"/>
      <sz val="18"/>
    </font>
    <font>
      <name val="Tahoma"/>
      <family val="2"/>
      <color rgb="FF202020"/>
      <sz val="18"/>
    </font>
    <font>
      <name val="Calibri"/>
      <family val="2"/>
      <color theme="10"/>
      <sz val="18"/>
      <u val="single"/>
      <scheme val="minor"/>
    </font>
    <font>
      <name val="Calibri"/>
      <family val="2"/>
      <color rgb="FF000000"/>
      <sz val="14"/>
      <scheme val="minor"/>
    </font>
    <font>
      <name val="Aptos"/>
      <b val="1"/>
      <color theme="1"/>
      <sz val="12"/>
    </font>
    <font>
      <name val="Aptos"/>
      <color rgb="FF212121"/>
      <sz val="11"/>
    </font>
    <font>
      <name val="Calibri"/>
      <family val="2"/>
      <color rgb="FF212121"/>
      <sz val="16"/>
      <scheme val="minor"/>
    </font>
    <font>
      <name val="Calibri"/>
      <family val="2"/>
      <color theme="1"/>
      <sz val="13"/>
      <scheme val="minor"/>
    </font>
    <font>
      <name val="Calibri"/>
      <family val="2"/>
      <b val="1"/>
      <color rgb="FF000000"/>
      <sz val="13"/>
      <u val="single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color rgb="FF000000"/>
      <sz val="13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color rgb="FF000000"/>
      <sz val="13"/>
      <u val="single"/>
      <scheme val="minor"/>
    </font>
    <font>
      <name val="Aptos Light"/>
      <color rgb="FF212121"/>
      <sz val="12"/>
    </font>
    <font>
      <name val="Aptos"/>
      <b val="1"/>
      <color rgb="FF212121"/>
      <sz val="14"/>
      <u val="single"/>
    </font>
    <font>
      <name val="Aptos"/>
      <color rgb="FF212121"/>
      <sz val="14"/>
    </font>
    <font>
      <name val="Aptos"/>
      <color rgb="FF212121"/>
      <sz val="12"/>
    </font>
    <font>
      <b val="1"/>
      <sz val="13"/>
    </font>
  </fonts>
  <fills count="1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3" fillId="0" borderId="0"/>
    <xf numFmtId="164" fontId="3" fillId="0" borderId="0"/>
    <xf numFmtId="0" fontId="4" fillId="0" borderId="0"/>
    <xf numFmtId="0" fontId="5" fillId="0" borderId="0"/>
    <xf numFmtId="164" fontId="3" fillId="0" borderId="0"/>
    <xf numFmtId="164" fontId="3" fillId="0" borderId="0"/>
  </cellStyleXfs>
  <cellXfs count="160">
    <xf numFmtId="0" fontId="0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vertical="center"/>
    </xf>
    <xf numFmtId="2" fontId="6" fillId="0" borderId="2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5" borderId="0" pivotButton="0" quotePrefix="0" xfId="0"/>
    <xf numFmtId="0" fontId="9" fillId="5" borderId="0" pivotButton="0" quotePrefix="0" xfId="0"/>
    <xf numFmtId="0" fontId="12" fillId="0" borderId="0" pivotButton="0" quotePrefix="0" xfId="0"/>
    <xf numFmtId="0" fontId="9" fillId="0" borderId="0" applyAlignment="1" pivotButton="0" quotePrefix="0" xfId="0">
      <alignment wrapText="1"/>
    </xf>
    <xf numFmtId="0" fontId="13" fillId="4" borderId="0" applyAlignment="1" pivotButton="0" quotePrefix="0" xfId="0">
      <alignment wrapText="1"/>
    </xf>
    <xf numFmtId="0" fontId="13" fillId="6" borderId="0" applyAlignment="1" pivotButton="0" quotePrefix="0" xfId="0">
      <alignment wrapText="1"/>
    </xf>
    <xf numFmtId="0" fontId="9" fillId="0" borderId="0" applyAlignment="1" pivotButton="0" quotePrefix="0" xfId="0">
      <alignment horizontal="left"/>
    </xf>
    <xf numFmtId="0" fontId="9" fillId="4" borderId="0" pivotButton="0" quotePrefix="0" xfId="0"/>
    <xf numFmtId="0" fontId="10" fillId="4" borderId="0" pivotButton="0" quotePrefix="0" xfId="0"/>
    <xf numFmtId="165" fontId="9" fillId="0" borderId="0" pivotButton="0" quotePrefix="0" xfId="0"/>
    <xf numFmtId="0" fontId="10" fillId="6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9" fillId="6" borderId="0" pivotButton="0" quotePrefix="0" xfId="0"/>
    <xf numFmtId="0" fontId="15" fillId="0" borderId="2" applyAlignment="1" pivotButton="0" quotePrefix="0" xfId="0">
      <alignment horizontal="left" vertical="center"/>
    </xf>
    <xf numFmtId="0" fontId="15" fillId="0" borderId="2" applyAlignment="1" pivotButton="0" quotePrefix="0" xfId="0">
      <alignment vertical="center"/>
    </xf>
    <xf numFmtId="0" fontId="15" fillId="0" borderId="2" applyAlignment="1" pivotButton="0" quotePrefix="0" xfId="0">
      <alignment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vertical="center" wrapText="1"/>
    </xf>
    <xf numFmtId="164" fontId="6" fillId="0" borderId="2" applyAlignment="1" pivotButton="0" quotePrefix="0" xfId="194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0" applyAlignment="1" pivotButton="0" quotePrefix="0" xfId="0">
      <alignment vertical="center" wrapText="1"/>
    </xf>
    <xf numFmtId="0" fontId="16" fillId="0" borderId="2" applyAlignment="1" pivotButton="0" quotePrefix="0" xfId="0">
      <alignment vertical="center"/>
    </xf>
    <xf numFmtId="0" fontId="17" fillId="0" borderId="6" applyAlignment="1" pivotButton="0" quotePrefix="0" xfId="0">
      <alignment vertical="center"/>
    </xf>
    <xf numFmtId="0" fontId="17" fillId="0" borderId="2" applyAlignment="1" pivotButton="0" quotePrefix="0" xfId="0">
      <alignment vertical="top"/>
    </xf>
    <xf numFmtId="0" fontId="17" fillId="0" borderId="2" applyAlignment="1" pivotButton="0" quotePrefix="0" xfId="0">
      <alignment vertical="center"/>
    </xf>
    <xf numFmtId="0" fontId="17" fillId="0" borderId="0" applyAlignment="1" pivotButton="0" quotePrefix="0" xfId="0">
      <alignment vertical="top"/>
    </xf>
    <xf numFmtId="0" fontId="6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19" fillId="0" borderId="0" applyAlignment="1" pivotButton="0" quotePrefix="0" xfId="0">
      <alignment vertical="center"/>
    </xf>
    <xf numFmtId="0" fontId="0" fillId="11" borderId="0" pivotButton="0" quotePrefix="0" xfId="0"/>
    <xf numFmtId="0" fontId="18" fillId="0" borderId="0" applyAlignment="1" pivotButton="0" quotePrefix="0" xfId="0">
      <alignment horizontal="center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/>
    </xf>
    <xf numFmtId="0" fontId="0" fillId="9" borderId="0" applyAlignment="1" pivotButton="0" quotePrefix="0" xfId="0">
      <alignment horizontal="center"/>
    </xf>
    <xf numFmtId="0" fontId="0" fillId="9" borderId="0" pivotButton="0" quotePrefix="0" xfId="0"/>
    <xf numFmtId="164" fontId="0" fillId="0" borderId="0" pivotButton="0" quotePrefix="0" xfId="1"/>
    <xf numFmtId="166" fontId="0" fillId="0" borderId="0" applyAlignment="1" pivotButton="0" quotePrefix="0" xfId="0">
      <alignment horizontal="center"/>
    </xf>
    <xf numFmtId="0" fontId="18" fillId="12" borderId="2" pivotButton="0" quotePrefix="0" xfId="0"/>
    <xf numFmtId="0" fontId="18" fillId="1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0" fontId="18" fillId="12" borderId="2" applyAlignment="1" pivotButton="0" quotePrefix="0" xfId="0">
      <alignment vertical="center"/>
    </xf>
    <xf numFmtId="0" fontId="21" fillId="0" borderId="0" pivotButton="0" quotePrefix="0" xfId="0"/>
    <xf numFmtId="0" fontId="22" fillId="0" borderId="0" pivotButton="0" quotePrefix="0" xfId="0"/>
    <xf numFmtId="0" fontId="0" fillId="0" borderId="0" applyAlignment="1" pivotButton="0" quotePrefix="0" xfId="0">
      <alignment wrapText="1"/>
    </xf>
    <xf numFmtId="0" fontId="23" fillId="12" borderId="0" applyAlignment="1" pivotButton="0" quotePrefix="0" xfId="0">
      <alignment horizontal="center" vertical="center"/>
    </xf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200"/>
    <xf numFmtId="0" fontId="0" fillId="9" borderId="0" applyAlignment="1" pivotButton="0" quotePrefix="0" xfId="0">
      <alignment horizontal="center" vertical="center"/>
    </xf>
    <xf numFmtId="166" fontId="0" fillId="0" borderId="0" pivotButton="0" quotePrefix="0" xfId="0"/>
    <xf numFmtId="0" fontId="0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167" fontId="31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0" fillId="5" borderId="2" pivotButton="0" quotePrefix="0" xfId="0"/>
    <xf numFmtId="167" fontId="0" fillId="0" borderId="2" applyAlignment="1" pivotButton="0" quotePrefix="0" xfId="0">
      <alignment horizontal="center"/>
    </xf>
    <xf numFmtId="167" fontId="0" fillId="4" borderId="2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7" fontId="0" fillId="0" borderId="0" pivotButton="0" quotePrefix="0" xfId="0"/>
    <xf numFmtId="167" fontId="6" fillId="0" borderId="0" applyAlignment="1" pivotButton="0" quotePrefix="0" xfId="0">
      <alignment horizontal="left" vertical="center"/>
    </xf>
    <xf numFmtId="0" fontId="33" fillId="0" borderId="0" pivotButton="0" quotePrefix="0" xfId="0"/>
    <xf numFmtId="0" fontId="34" fillId="0" borderId="0" pivotButton="0" quotePrefix="0" xfId="0"/>
    <xf numFmtId="0" fontId="35" fillId="8" borderId="0" applyAlignment="1" pivotButton="0" quotePrefix="0" xfId="0">
      <alignment vertical="center"/>
    </xf>
    <xf numFmtId="0" fontId="35" fillId="8" borderId="0" applyAlignment="1" pivotButton="0" quotePrefix="0" xfId="0">
      <alignment horizontal="center" vertical="center"/>
    </xf>
    <xf numFmtId="0" fontId="35" fillId="0" borderId="0" applyAlignment="1" pivotButton="0" quotePrefix="0" xfId="0">
      <alignment vertical="center"/>
    </xf>
    <xf numFmtId="0" fontId="35" fillId="9" borderId="0" applyAlignment="1" pivotButton="0" quotePrefix="0" xfId="0">
      <alignment vertical="center"/>
    </xf>
    <xf numFmtId="0" fontId="35" fillId="9" borderId="0" applyAlignment="1" pivotButton="0" quotePrefix="0" xfId="0">
      <alignment horizontal="center" vertical="center"/>
    </xf>
    <xf numFmtId="0" fontId="35" fillId="3" borderId="3" applyAlignment="1" pivotButton="0" quotePrefix="0" xfId="0">
      <alignment horizontal="center" vertical="center"/>
    </xf>
    <xf numFmtId="0" fontId="36" fillId="0" borderId="0" applyAlignment="1" pivotButton="0" quotePrefix="0" xfId="0">
      <alignment vertical="center"/>
    </xf>
    <xf numFmtId="0" fontId="35" fillId="0" borderId="1" applyAlignment="1" pivotButton="0" quotePrefix="0" xfId="0">
      <alignment vertical="center"/>
    </xf>
    <xf numFmtId="0" fontId="35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vertical="center"/>
    </xf>
    <xf numFmtId="0" fontId="35" fillId="0" borderId="2" applyAlignment="1" pivotButton="0" quotePrefix="0" xfId="0">
      <alignment vertical="center"/>
    </xf>
    <xf numFmtId="0" fontId="37" fillId="0" borderId="2" applyAlignment="1" pivotButton="0" quotePrefix="0" xfId="0">
      <alignment horizontal="center" vertical="center"/>
    </xf>
    <xf numFmtId="0" fontId="37" fillId="0" borderId="2" applyAlignment="1" pivotButton="0" quotePrefix="0" xfId="0">
      <alignment horizontal="left" vertical="center"/>
    </xf>
    <xf numFmtId="0" fontId="36" fillId="0" borderId="2" applyAlignment="1" pivotButton="0" quotePrefix="0" xfId="0">
      <alignment vertical="center"/>
    </xf>
    <xf numFmtId="164" fontId="35" fillId="0" borderId="2" applyAlignment="1" pivotButton="0" quotePrefix="0" xfId="1">
      <alignment horizontal="center" vertical="center"/>
    </xf>
    <xf numFmtId="0" fontId="38" fillId="8" borderId="2" applyAlignment="1" pivotButton="0" quotePrefix="0" xfId="0">
      <alignment vertical="center"/>
    </xf>
    <xf numFmtId="164" fontId="35" fillId="8" borderId="2" applyAlignment="1" pivotButton="0" quotePrefix="0" xfId="1">
      <alignment horizontal="center" vertical="center"/>
    </xf>
    <xf numFmtId="166" fontId="35" fillId="0" borderId="0" applyAlignment="1" pivotButton="0" quotePrefix="0" xfId="0">
      <alignment vertical="center"/>
    </xf>
    <xf numFmtId="0" fontId="36" fillId="2" borderId="2" applyAlignment="1" pivotButton="0" quotePrefix="0" xfId="0">
      <alignment vertical="center"/>
    </xf>
    <xf numFmtId="164" fontId="35" fillId="2" borderId="2" applyAlignment="1" pivotButton="0" quotePrefix="0" xfId="1">
      <alignment horizontal="center" vertical="center"/>
    </xf>
    <xf numFmtId="0" fontId="38" fillId="0" borderId="2" applyAlignment="1" pivotButton="0" quotePrefix="0" xfId="0">
      <alignment vertical="center"/>
    </xf>
    <xf numFmtId="0" fontId="35" fillId="7" borderId="2" applyAlignment="1" pivotButton="0" quotePrefix="0" xfId="0">
      <alignment vertical="center"/>
    </xf>
    <xf numFmtId="164" fontId="35" fillId="7" borderId="2" applyAlignment="1" pivotButton="0" quotePrefix="0" xfId="1">
      <alignment horizontal="center" vertical="center"/>
    </xf>
    <xf numFmtId="0" fontId="35" fillId="7" borderId="0" applyAlignment="1" pivotButton="0" quotePrefix="0" xfId="0">
      <alignment vertical="center"/>
    </xf>
    <xf numFmtId="0" fontId="35" fillId="0" borderId="2" applyAlignment="1" pivotButton="0" quotePrefix="0" xfId="0">
      <alignment vertical="center" wrapText="1"/>
    </xf>
    <xf numFmtId="0" fontId="38" fillId="4" borderId="2" applyAlignment="1" pivotButton="0" quotePrefix="0" xfId="0">
      <alignment vertical="center"/>
    </xf>
    <xf numFmtId="164" fontId="35" fillId="4" borderId="2" applyAlignment="1" pivotButton="0" quotePrefix="0" xfId="1">
      <alignment horizontal="center" vertical="center"/>
    </xf>
    <xf numFmtId="0" fontId="38" fillId="0" borderId="2" applyAlignment="1" pivotButton="0" quotePrefix="0" xfId="0">
      <alignment vertical="center" wrapText="1"/>
    </xf>
    <xf numFmtId="0" fontId="38" fillId="4" borderId="2" applyAlignment="1" pivotButton="0" quotePrefix="0" xfId="0">
      <alignment vertical="center" wrapText="1"/>
    </xf>
    <xf numFmtId="0" fontId="38" fillId="0" borderId="2" applyAlignment="1" pivotButton="0" quotePrefix="0" xfId="0">
      <alignment horizontal="left" vertical="center" wrapText="1"/>
    </xf>
    <xf numFmtId="0" fontId="38" fillId="9" borderId="2" applyAlignment="1" pivotButton="0" quotePrefix="0" xfId="0">
      <alignment vertical="center" wrapText="1"/>
    </xf>
    <xf numFmtId="164" fontId="35" fillId="9" borderId="2" applyAlignment="1" pivotButton="0" quotePrefix="0" xfId="1">
      <alignment horizontal="center" vertical="center"/>
    </xf>
    <xf numFmtId="164" fontId="35" fillId="0" borderId="0" applyAlignment="1" pivotButton="0" quotePrefix="0" xfId="0">
      <alignment vertical="center"/>
    </xf>
    <xf numFmtId="0" fontId="38" fillId="8" borderId="2" applyAlignment="1" pivotButton="0" quotePrefix="0" xfId="0">
      <alignment vertical="center" wrapText="1"/>
    </xf>
    <xf numFmtId="0" fontId="38" fillId="8" borderId="2" applyAlignment="1" pivotButton="0" quotePrefix="0" xfId="0">
      <alignment horizontal="left" vertical="center" wrapText="1"/>
    </xf>
    <xf numFmtId="164" fontId="38" fillId="8" borderId="4" applyAlignment="1" pivotButton="0" quotePrefix="0" xfId="0">
      <alignment horizontal="center" vertical="center"/>
    </xf>
    <xf numFmtId="0" fontId="37" fillId="0" borderId="2" applyAlignment="1" pivotButton="0" quotePrefix="0" xfId="0">
      <alignment vertical="center"/>
    </xf>
    <xf numFmtId="0" fontId="35" fillId="9" borderId="2" applyAlignment="1" pivotButton="0" quotePrefix="0" xfId="0">
      <alignment vertical="center"/>
    </xf>
    <xf numFmtId="0" fontId="35" fillId="0" borderId="0" applyAlignment="1" pivotButton="0" quotePrefix="0" xfId="0">
      <alignment horizontal="left" vertical="center"/>
    </xf>
    <xf numFmtId="164" fontId="35" fillId="0" borderId="0" applyAlignment="1" pivotButton="0" quotePrefix="0" xfId="1">
      <alignment vertical="center"/>
    </xf>
    <xf numFmtId="0" fontId="39" fillId="0" borderId="2" applyAlignment="1" pivotButton="0" quotePrefix="0" xfId="0">
      <alignment vertical="center"/>
    </xf>
    <xf numFmtId="166" fontId="35" fillId="0" borderId="0" applyAlignment="1" pivotButton="0" quotePrefix="0" xfId="0">
      <alignment horizontal="left" vertical="center"/>
    </xf>
    <xf numFmtId="164" fontId="35" fillId="7" borderId="0" applyAlignment="1" pivotButton="0" quotePrefix="0" xfId="0">
      <alignment horizontal="center" vertical="center"/>
    </xf>
    <xf numFmtId="0" fontId="38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/>
    </xf>
    <xf numFmtId="0" fontId="35" fillId="9" borderId="2" applyAlignment="1" pivotButton="0" quotePrefix="0" xfId="0">
      <alignment horizontal="center" vertical="center"/>
    </xf>
    <xf numFmtId="0" fontId="41" fillId="0" borderId="0" pivotButton="0" quotePrefix="0" xfId="0"/>
    <xf numFmtId="0" fontId="42" fillId="0" borderId="0" pivotButton="0" quotePrefix="0" xfId="0"/>
    <xf numFmtId="0" fontId="43" fillId="0" borderId="0" pivotButton="0" quotePrefix="0" xfId="0"/>
    <xf numFmtId="0" fontId="44" fillId="0" borderId="0" pivotButton="0" quotePrefix="0" xfId="0"/>
    <xf numFmtId="168" fontId="6" fillId="0" borderId="0" applyAlignment="1" pivotButton="0" quotePrefix="0" xfId="0">
      <alignment horizontal="left" vertical="center"/>
    </xf>
    <xf numFmtId="0" fontId="35" fillId="0" borderId="2" applyAlignment="1" pivotButton="0" quotePrefix="0" xfId="0">
      <alignment horizontal="center" vertical="center"/>
    </xf>
    <xf numFmtId="1" fontId="35" fillId="0" borderId="2" applyAlignment="1" pivotButton="0" quotePrefix="0" xfId="1">
      <alignment horizontal="center" vertical="center"/>
    </xf>
    <xf numFmtId="164" fontId="35" fillId="8" borderId="0" applyAlignment="1" pivotButton="0" quotePrefix="0" xfId="1">
      <alignment horizontal="center" vertical="center"/>
    </xf>
    <xf numFmtId="0" fontId="18" fillId="10" borderId="0" applyAlignment="1" pivotButton="0" quotePrefix="0" xfId="0">
      <alignment horizontal="center"/>
    </xf>
    <xf numFmtId="0" fontId="18" fillId="12" borderId="0" applyAlignment="1" pivotButton="0" quotePrefix="0" xfId="0">
      <alignment horizontal="center"/>
    </xf>
    <xf numFmtId="0" fontId="35" fillId="0" borderId="1" applyAlignment="1" pivotButton="0" quotePrefix="0" xfId="0">
      <alignment horizontal="left" vertical="center"/>
    </xf>
    <xf numFmtId="0" fontId="35" fillId="0" borderId="5" applyAlignment="1" pivotButton="0" quotePrefix="0" xfId="0">
      <alignment horizontal="left" vertical="center"/>
    </xf>
    <xf numFmtId="0" fontId="45" fillId="0" borderId="0" pivotButton="0" quotePrefix="0" xfId="0"/>
    <xf numFmtId="0" fontId="0" fillId="0" borderId="1" pivotButton="0" quotePrefix="0" xfId="0"/>
    <xf numFmtId="0" fontId="0" fillId="0" borderId="5" pivotButton="0" quotePrefix="0" xfId="0"/>
    <xf numFmtId="166" fontId="35" fillId="0" borderId="0" applyAlignment="1" pivotButton="0" quotePrefix="0" xfId="0">
      <alignment vertical="center"/>
    </xf>
    <xf numFmtId="166" fontId="35" fillId="0" borderId="0" applyAlignment="1" pivotButton="0" quotePrefix="0" xfId="0">
      <alignment horizontal="left" vertical="center"/>
    </xf>
    <xf numFmtId="166" fontId="0" fillId="0" borderId="0" pivotButton="0" quotePrefix="0" xfId="0"/>
    <xf numFmtId="166" fontId="0" fillId="0" borderId="0" applyAlignment="1" pivotButton="0" quotePrefix="0" xfId="0">
      <alignment horizontal="center"/>
    </xf>
    <xf numFmtId="167" fontId="31" fillId="0" borderId="0" applyAlignment="1" pivotButton="0" quotePrefix="0" xfId="0">
      <alignment horizontal="left" vertical="center"/>
    </xf>
    <xf numFmtId="168" fontId="6" fillId="0" borderId="0" applyAlignment="1" pivotButton="0" quotePrefix="0" xfId="0">
      <alignment horizontal="left" vertical="center"/>
    </xf>
    <xf numFmtId="167" fontId="0" fillId="0" borderId="2" applyAlignment="1" pivotButton="0" quotePrefix="0" xfId="0">
      <alignment horizontal="center"/>
    </xf>
    <xf numFmtId="167" fontId="0" fillId="4" borderId="2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7" fontId="0" fillId="0" borderId="0" pivotButton="0" quotePrefix="0" xfId="0"/>
    <xf numFmtId="167" fontId="6" fillId="0" borderId="0" applyAlignment="1" pivotButton="0" quotePrefix="0" xfId="0">
      <alignment horizontal="left" vertical="center"/>
    </xf>
  </cellXfs>
  <cellStyles count="6">
    <cellStyle name="Normal" xfId="0" builtinId="0"/>
    <cellStyle name="Currency" xfId="1" builtinId="4"/>
    <cellStyle name="Hyperlink" xfId="2" builtinId="8" hidden="1"/>
    <cellStyle name="Followed Hyperlink" xfId="3" builtinId="9" hidden="1"/>
    <cellStyle name="Currency 2" xfId="4"/>
    <cellStyle name="Currency 3" xfId="5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stickylabels-my.sharepoint.com/Raz%20work/Raz%20work%20B_up%20080420/Pricing/2024/Direct%20pricing%20file%20Jul%2024%20increase%20(AD-Confidential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Matrix"/>
      <sheetName val="June GSAC"/>
      <sheetName val="Jul GSAC"/>
      <sheetName val="June PFx"/>
      <sheetName val="July PFx"/>
      <sheetName val="PVM Detail Report Vol to GP (LC"/>
    </sheetNames>
    <sheetDataSet>
      <sheetData sheetId="0" refreshError="1"/>
      <sheetData sheetId="1" refreshError="1"/>
      <sheetData sheetId="2" refreshError="1">
        <row r="1">
          <cell r="D1" t="str">
            <v>Item Cat</v>
          </cell>
          <cell r="E1" t="str">
            <v>Cur</v>
          </cell>
          <cell r="F1" t="str">
            <v>UM</v>
          </cell>
          <cell r="G1" t="str">
            <v>Start</v>
          </cell>
          <cell r="H1" t="str">
            <v>Expire</v>
          </cell>
          <cell r="I1" t="str">
            <v>Description</v>
          </cell>
          <cell r="J1" t="str">
            <v>Amount Type</v>
          </cell>
          <cell r="K1" t="str">
            <v>Quantity Type</v>
          </cell>
          <cell r="L1" t="str">
            <v>Manual</v>
          </cell>
        </row>
        <row r="2">
          <cell r="D2" t="str">
            <v>A002588</v>
          </cell>
          <cell r="E2" t="str">
            <v>AUD</v>
          </cell>
          <cell r="F2" t="str">
            <v>RL</v>
          </cell>
          <cell r="G2">
            <v>44572</v>
          </cell>
          <cell r="H2" t="str">
            <v>06/30/24</v>
          </cell>
          <cell r="J2" t="str">
            <v>List Price</v>
          </cell>
          <cell r="K2" t="str">
            <v>Quantity</v>
          </cell>
          <cell r="L2" t="str">
            <v>No</v>
          </cell>
        </row>
        <row r="3">
          <cell r="D3" t="str">
            <v>A002619</v>
          </cell>
          <cell r="E3" t="str">
            <v>AUD</v>
          </cell>
          <cell r="F3" t="str">
            <v>RL</v>
          </cell>
          <cell r="G3">
            <v>44572</v>
          </cell>
          <cell r="J3" t="str">
            <v>List Price</v>
          </cell>
          <cell r="K3" t="str">
            <v>Quantity</v>
          </cell>
          <cell r="L3" t="str">
            <v>No</v>
          </cell>
        </row>
        <row r="4">
          <cell r="D4" t="str">
            <v>A002620</v>
          </cell>
          <cell r="E4" t="str">
            <v>AUD</v>
          </cell>
          <cell r="F4" t="str">
            <v>RL</v>
          </cell>
          <cell r="G4">
            <v>44572</v>
          </cell>
          <cell r="J4" t="str">
            <v>List Price</v>
          </cell>
          <cell r="K4" t="str">
            <v>Quantity</v>
          </cell>
          <cell r="L4" t="str">
            <v>No</v>
          </cell>
        </row>
        <row r="5">
          <cell r="D5" t="str">
            <v>A002625</v>
          </cell>
          <cell r="E5" t="str">
            <v>AUD</v>
          </cell>
          <cell r="F5" t="str">
            <v>RL</v>
          </cell>
          <cell r="G5">
            <v>44572</v>
          </cell>
          <cell r="J5" t="str">
            <v>List Price</v>
          </cell>
          <cell r="K5" t="str">
            <v>Quantity</v>
          </cell>
          <cell r="L5" t="str">
            <v>No</v>
          </cell>
        </row>
        <row r="6">
          <cell r="D6" t="str">
            <v>A002626</v>
          </cell>
          <cell r="E6" t="str">
            <v>AUD</v>
          </cell>
          <cell r="F6" t="str">
            <v>RL</v>
          </cell>
          <cell r="G6">
            <v>44572</v>
          </cell>
          <cell r="J6" t="str">
            <v>List Price</v>
          </cell>
          <cell r="K6" t="str">
            <v>Quantity</v>
          </cell>
          <cell r="L6" t="str">
            <v>No</v>
          </cell>
        </row>
        <row r="7">
          <cell r="D7" t="str">
            <v>A004225</v>
          </cell>
          <cell r="E7" t="str">
            <v>AUD</v>
          </cell>
          <cell r="F7" t="str">
            <v>RL</v>
          </cell>
          <cell r="G7">
            <v>44572</v>
          </cell>
          <cell r="H7" t="str">
            <v>06/30/24</v>
          </cell>
          <cell r="J7" t="str">
            <v>List Price</v>
          </cell>
          <cell r="K7" t="str">
            <v>Quantity</v>
          </cell>
          <cell r="L7" t="str">
            <v>No</v>
          </cell>
        </row>
        <row r="8">
          <cell r="D8" t="str">
            <v>A004226</v>
          </cell>
          <cell r="E8" t="str">
            <v>AUD</v>
          </cell>
          <cell r="F8" t="str">
            <v>RL</v>
          </cell>
          <cell r="G8">
            <v>44572</v>
          </cell>
          <cell r="H8" t="str">
            <v>06/30/24</v>
          </cell>
          <cell r="J8" t="str">
            <v>List Price</v>
          </cell>
          <cell r="K8" t="str">
            <v>Quantity</v>
          </cell>
          <cell r="L8" t="str">
            <v>No</v>
          </cell>
        </row>
        <row r="9">
          <cell r="D9" t="str">
            <v>A004228</v>
          </cell>
          <cell r="E9" t="str">
            <v>AUD</v>
          </cell>
          <cell r="F9" t="str">
            <v>RL</v>
          </cell>
          <cell r="G9">
            <v>44572</v>
          </cell>
          <cell r="H9" t="str">
            <v>06/30/24</v>
          </cell>
          <cell r="J9" t="str">
            <v>List Price</v>
          </cell>
          <cell r="K9" t="str">
            <v>Quantity</v>
          </cell>
          <cell r="L9" t="str">
            <v>No</v>
          </cell>
        </row>
        <row r="10">
          <cell r="D10" t="str">
            <v>A004229</v>
          </cell>
          <cell r="E10" t="str">
            <v>AUD</v>
          </cell>
          <cell r="F10" t="str">
            <v>RL</v>
          </cell>
          <cell r="G10">
            <v>44572</v>
          </cell>
          <cell r="H10" t="str">
            <v>06/30/24</v>
          </cell>
          <cell r="J10" t="str">
            <v>List Price</v>
          </cell>
          <cell r="K10" t="str">
            <v>Quantity</v>
          </cell>
          <cell r="L10" t="str">
            <v>No</v>
          </cell>
        </row>
        <row r="11">
          <cell r="D11" t="str">
            <v>A005615</v>
          </cell>
          <cell r="E11" t="str">
            <v>AUD</v>
          </cell>
          <cell r="F11" t="str">
            <v>RL</v>
          </cell>
          <cell r="G11">
            <v>44572</v>
          </cell>
          <cell r="H11" t="str">
            <v>06/30/24</v>
          </cell>
          <cell r="J11" t="str">
            <v>List Price</v>
          </cell>
          <cell r="K11" t="str">
            <v>Quantity</v>
          </cell>
          <cell r="L11" t="str">
            <v>No</v>
          </cell>
        </row>
        <row r="12">
          <cell r="D12" t="str">
            <v>A005632</v>
          </cell>
          <cell r="E12" t="str">
            <v>AUD</v>
          </cell>
          <cell r="F12" t="str">
            <v>RL</v>
          </cell>
          <cell r="G12">
            <v>44572</v>
          </cell>
          <cell r="H12" t="str">
            <v>06/30/24</v>
          </cell>
          <cell r="J12" t="str">
            <v>List Price</v>
          </cell>
          <cell r="K12" t="str">
            <v>Quantity</v>
          </cell>
          <cell r="L12" t="str">
            <v>No</v>
          </cell>
        </row>
        <row r="13">
          <cell r="D13" t="str">
            <v>A005678</v>
          </cell>
          <cell r="E13" t="str">
            <v>AUD</v>
          </cell>
          <cell r="F13" t="str">
            <v>RL</v>
          </cell>
          <cell r="G13">
            <v>44572</v>
          </cell>
          <cell r="J13" t="str">
            <v>List Price</v>
          </cell>
          <cell r="K13" t="str">
            <v>Quantity</v>
          </cell>
          <cell r="L13" t="str">
            <v>No</v>
          </cell>
        </row>
        <row r="14">
          <cell r="D14" t="str">
            <v>A005693</v>
          </cell>
          <cell r="E14" t="str">
            <v>AUD</v>
          </cell>
          <cell r="F14" t="str">
            <v>RL</v>
          </cell>
          <cell r="G14">
            <v>44572</v>
          </cell>
          <cell r="J14" t="str">
            <v>List Price</v>
          </cell>
          <cell r="K14" t="str">
            <v>Quantity</v>
          </cell>
          <cell r="L14" t="str">
            <v>No</v>
          </cell>
        </row>
        <row r="15">
          <cell r="D15" t="str">
            <v>A005721</v>
          </cell>
          <cell r="E15" t="str">
            <v>AUD</v>
          </cell>
          <cell r="F15" t="str">
            <v>RL</v>
          </cell>
          <cell r="G15">
            <v>44572</v>
          </cell>
          <cell r="H15" t="str">
            <v>06/30/24</v>
          </cell>
          <cell r="J15" t="str">
            <v>List Price</v>
          </cell>
          <cell r="K15" t="str">
            <v>Quantity</v>
          </cell>
          <cell r="L15" t="str">
            <v>No</v>
          </cell>
        </row>
        <row r="16">
          <cell r="D16" t="str">
            <v>A005722</v>
          </cell>
          <cell r="E16" t="str">
            <v>AUD</v>
          </cell>
          <cell r="F16" t="str">
            <v>RL</v>
          </cell>
          <cell r="G16">
            <v>44572</v>
          </cell>
          <cell r="H16" t="str">
            <v>06/30/24</v>
          </cell>
          <cell r="J16" t="str">
            <v>List Price</v>
          </cell>
          <cell r="K16" t="str">
            <v>Quantity</v>
          </cell>
          <cell r="L16" t="str">
            <v>No</v>
          </cell>
        </row>
        <row r="17">
          <cell r="D17" t="str">
            <v>A005952</v>
          </cell>
          <cell r="E17" t="str">
            <v>AUD</v>
          </cell>
          <cell r="F17" t="str">
            <v>RL</v>
          </cell>
          <cell r="G17">
            <v>44572</v>
          </cell>
          <cell r="H17" t="str">
            <v>06/30/24</v>
          </cell>
          <cell r="J17" t="str">
            <v>List Price</v>
          </cell>
          <cell r="K17" t="str">
            <v>Quantity</v>
          </cell>
          <cell r="L17" t="str">
            <v>No</v>
          </cell>
        </row>
        <row r="18">
          <cell r="D18" t="str">
            <v>A006040</v>
          </cell>
          <cell r="E18" t="str">
            <v>AUD</v>
          </cell>
          <cell r="F18" t="str">
            <v>RL</v>
          </cell>
          <cell r="G18">
            <v>44572</v>
          </cell>
          <cell r="H18" t="str">
            <v>06/30/24</v>
          </cell>
          <cell r="J18" t="str">
            <v>List Price</v>
          </cell>
          <cell r="K18" t="str">
            <v>Quantity</v>
          </cell>
          <cell r="L18" t="str">
            <v>No</v>
          </cell>
        </row>
        <row r="19">
          <cell r="D19" t="str">
            <v>A006041</v>
          </cell>
          <cell r="E19" t="str">
            <v>AUD</v>
          </cell>
          <cell r="F19" t="str">
            <v>RL</v>
          </cell>
          <cell r="G19">
            <v>44572</v>
          </cell>
          <cell r="H19" t="str">
            <v>06/30/24</v>
          </cell>
          <cell r="J19" t="str">
            <v>List Price</v>
          </cell>
          <cell r="K19" t="str">
            <v>Quantity</v>
          </cell>
          <cell r="L19" t="str">
            <v>No</v>
          </cell>
        </row>
        <row r="20">
          <cell r="D20" t="str">
            <v>A006080</v>
          </cell>
          <cell r="E20" t="str">
            <v>AUD</v>
          </cell>
          <cell r="F20" t="str">
            <v>RL</v>
          </cell>
          <cell r="G20">
            <v>44572</v>
          </cell>
          <cell r="H20" t="str">
            <v>06/30/24</v>
          </cell>
          <cell r="J20" t="str">
            <v>List Price</v>
          </cell>
          <cell r="K20" t="str">
            <v>Quantity</v>
          </cell>
          <cell r="L20" t="str">
            <v>No</v>
          </cell>
        </row>
        <row r="21">
          <cell r="D21" t="str">
            <v>A006081</v>
          </cell>
          <cell r="E21" t="str">
            <v>AUD</v>
          </cell>
          <cell r="F21" t="str">
            <v>RL</v>
          </cell>
          <cell r="G21">
            <v>44572</v>
          </cell>
          <cell r="H21" t="str">
            <v>06/30/24</v>
          </cell>
          <cell r="J21" t="str">
            <v>List Price</v>
          </cell>
          <cell r="K21" t="str">
            <v>Quantity</v>
          </cell>
          <cell r="L21" t="str">
            <v>No</v>
          </cell>
        </row>
        <row r="22">
          <cell r="D22" t="str">
            <v>A006082</v>
          </cell>
          <cell r="E22" t="str">
            <v>AUD</v>
          </cell>
          <cell r="F22" t="str">
            <v>RL</v>
          </cell>
          <cell r="G22">
            <v>44572</v>
          </cell>
          <cell r="H22" t="str">
            <v>06/30/24</v>
          </cell>
          <cell r="J22" t="str">
            <v>List Price</v>
          </cell>
          <cell r="K22" t="str">
            <v>Quantity</v>
          </cell>
          <cell r="L22" t="str">
            <v>No</v>
          </cell>
        </row>
        <row r="23">
          <cell r="D23" t="str">
            <v>A006083</v>
          </cell>
          <cell r="E23" t="str">
            <v>AUD</v>
          </cell>
          <cell r="F23" t="str">
            <v>RL</v>
          </cell>
          <cell r="G23">
            <v>44572</v>
          </cell>
          <cell r="H23" t="str">
            <v>06/30/24</v>
          </cell>
          <cell r="J23" t="str">
            <v>List Price</v>
          </cell>
          <cell r="K23" t="str">
            <v>Quantity</v>
          </cell>
          <cell r="L23" t="str">
            <v>No</v>
          </cell>
        </row>
        <row r="24">
          <cell r="D24" t="str">
            <v>A006084</v>
          </cell>
          <cell r="E24" t="str">
            <v>AUD</v>
          </cell>
          <cell r="F24" t="str">
            <v>RL</v>
          </cell>
          <cell r="G24">
            <v>44572</v>
          </cell>
          <cell r="H24" t="str">
            <v>06/30/24</v>
          </cell>
          <cell r="J24" t="str">
            <v>List Price</v>
          </cell>
          <cell r="K24" t="str">
            <v>Quantity</v>
          </cell>
          <cell r="L24" t="str">
            <v>No</v>
          </cell>
        </row>
        <row r="25">
          <cell r="D25" t="str">
            <v>A006085</v>
          </cell>
          <cell r="E25" t="str">
            <v>AUD</v>
          </cell>
          <cell r="F25" t="str">
            <v>RL</v>
          </cell>
          <cell r="G25">
            <v>44572</v>
          </cell>
          <cell r="H25" t="str">
            <v>06/30/24</v>
          </cell>
          <cell r="J25" t="str">
            <v>List Price</v>
          </cell>
          <cell r="K25" t="str">
            <v>Quantity</v>
          </cell>
          <cell r="L25" t="str">
            <v>No</v>
          </cell>
        </row>
        <row r="26">
          <cell r="D26" t="str">
            <v>A006091</v>
          </cell>
          <cell r="E26" t="str">
            <v>AUD</v>
          </cell>
          <cell r="F26" t="str">
            <v>RL</v>
          </cell>
          <cell r="G26">
            <v>44572</v>
          </cell>
          <cell r="H26" t="str">
            <v>06/30/24</v>
          </cell>
          <cell r="J26" t="str">
            <v>List Price</v>
          </cell>
          <cell r="K26" t="str">
            <v>Quantity</v>
          </cell>
          <cell r="L26" t="str">
            <v>No</v>
          </cell>
        </row>
        <row r="27">
          <cell r="D27" t="str">
            <v>A006094</v>
          </cell>
          <cell r="E27" t="str">
            <v>AUD</v>
          </cell>
          <cell r="F27" t="str">
            <v>RL</v>
          </cell>
          <cell r="G27">
            <v>44572</v>
          </cell>
          <cell r="H27" t="str">
            <v>06/30/24</v>
          </cell>
          <cell r="J27" t="str">
            <v>List Price</v>
          </cell>
          <cell r="K27" t="str">
            <v>Quantity</v>
          </cell>
          <cell r="L27" t="str">
            <v>No</v>
          </cell>
        </row>
        <row r="28">
          <cell r="D28" t="str">
            <v>A006095</v>
          </cell>
          <cell r="E28" t="str">
            <v>AUD</v>
          </cell>
          <cell r="F28" t="str">
            <v>RL</v>
          </cell>
          <cell r="G28">
            <v>44572</v>
          </cell>
          <cell r="H28" t="str">
            <v>06/30/24</v>
          </cell>
          <cell r="J28" t="str">
            <v>List Price</v>
          </cell>
          <cell r="K28" t="str">
            <v>Quantity</v>
          </cell>
          <cell r="L28" t="str">
            <v>No</v>
          </cell>
        </row>
        <row r="29">
          <cell r="D29" t="str">
            <v>A006103</v>
          </cell>
          <cell r="E29" t="str">
            <v>AUD</v>
          </cell>
          <cell r="F29" t="str">
            <v>RL</v>
          </cell>
          <cell r="G29">
            <v>44572</v>
          </cell>
          <cell r="H29" t="str">
            <v>06/30/24</v>
          </cell>
          <cell r="J29" t="str">
            <v>List Price</v>
          </cell>
          <cell r="K29" t="str">
            <v>Quantity</v>
          </cell>
          <cell r="L29" t="str">
            <v>No</v>
          </cell>
        </row>
        <row r="30">
          <cell r="D30" t="str">
            <v>A006110</v>
          </cell>
          <cell r="E30" t="str">
            <v>AUD</v>
          </cell>
          <cell r="F30" t="str">
            <v>RL</v>
          </cell>
          <cell r="G30">
            <v>44572</v>
          </cell>
          <cell r="H30" t="str">
            <v>06/30/24</v>
          </cell>
          <cell r="J30" t="str">
            <v>List Price</v>
          </cell>
          <cell r="K30" t="str">
            <v>Quantity</v>
          </cell>
          <cell r="L30" t="str">
            <v>No</v>
          </cell>
        </row>
        <row r="31">
          <cell r="D31" t="str">
            <v>A006111</v>
          </cell>
          <cell r="E31" t="str">
            <v>AUD</v>
          </cell>
          <cell r="F31" t="str">
            <v>RL</v>
          </cell>
          <cell r="G31">
            <v>44572</v>
          </cell>
          <cell r="H31" t="str">
            <v>06/30/24</v>
          </cell>
          <cell r="J31" t="str">
            <v>List Price</v>
          </cell>
          <cell r="K31" t="str">
            <v>Quantity</v>
          </cell>
          <cell r="L31" t="str">
            <v>No</v>
          </cell>
        </row>
        <row r="32">
          <cell r="D32" t="str">
            <v>A006131</v>
          </cell>
          <cell r="E32" t="str">
            <v>AUD</v>
          </cell>
          <cell r="F32" t="str">
            <v>RL</v>
          </cell>
          <cell r="G32">
            <v>44572</v>
          </cell>
          <cell r="J32" t="str">
            <v>List Price</v>
          </cell>
          <cell r="K32" t="str">
            <v>Quantity</v>
          </cell>
          <cell r="L32" t="str">
            <v>No</v>
          </cell>
        </row>
        <row r="33">
          <cell r="D33" t="str">
            <v>A006133</v>
          </cell>
          <cell r="E33" t="str">
            <v>AUD</v>
          </cell>
          <cell r="F33" t="str">
            <v>RL</v>
          </cell>
          <cell r="G33">
            <v>44572</v>
          </cell>
          <cell r="J33" t="str">
            <v>List Price</v>
          </cell>
          <cell r="K33" t="str">
            <v>Quantity</v>
          </cell>
          <cell r="L33" t="str">
            <v>No</v>
          </cell>
        </row>
        <row r="34">
          <cell r="D34" t="str">
            <v>A006134</v>
          </cell>
          <cell r="E34" t="str">
            <v>AUD</v>
          </cell>
          <cell r="F34" t="str">
            <v>RL</v>
          </cell>
          <cell r="G34">
            <v>44572</v>
          </cell>
          <cell r="H34" t="str">
            <v>06/30/24</v>
          </cell>
          <cell r="J34" t="str">
            <v>List Price</v>
          </cell>
          <cell r="K34" t="str">
            <v>Quantity</v>
          </cell>
          <cell r="L34" t="str">
            <v>No</v>
          </cell>
        </row>
        <row r="35">
          <cell r="D35" t="str">
            <v>A006149</v>
          </cell>
          <cell r="E35" t="str">
            <v>AUD</v>
          </cell>
          <cell r="F35" t="str">
            <v>RL</v>
          </cell>
          <cell r="G35">
            <v>44572</v>
          </cell>
          <cell r="H35" t="str">
            <v>06/30/24</v>
          </cell>
          <cell r="J35" t="str">
            <v>List Price</v>
          </cell>
          <cell r="K35" t="str">
            <v>Quantity</v>
          </cell>
          <cell r="L35" t="str">
            <v>No</v>
          </cell>
        </row>
        <row r="36">
          <cell r="D36" t="str">
            <v>A006170</v>
          </cell>
          <cell r="E36" t="str">
            <v>AUD</v>
          </cell>
          <cell r="F36" t="str">
            <v>RL</v>
          </cell>
          <cell r="G36">
            <v>44572</v>
          </cell>
          <cell r="J36" t="str">
            <v>List Price</v>
          </cell>
          <cell r="K36" t="str">
            <v>Quantity</v>
          </cell>
          <cell r="L36" t="str">
            <v>No</v>
          </cell>
        </row>
        <row r="37">
          <cell r="D37" t="str">
            <v>A006171</v>
          </cell>
          <cell r="E37" t="str">
            <v>AUD</v>
          </cell>
          <cell r="F37" t="str">
            <v>RL</v>
          </cell>
          <cell r="G37">
            <v>44572</v>
          </cell>
          <cell r="J37" t="str">
            <v>List Price</v>
          </cell>
          <cell r="K37" t="str">
            <v>Quantity</v>
          </cell>
          <cell r="L37" t="str">
            <v>No</v>
          </cell>
        </row>
        <row r="38">
          <cell r="D38" t="str">
            <v>A006172</v>
          </cell>
          <cell r="E38" t="str">
            <v>AUD</v>
          </cell>
          <cell r="F38" t="str">
            <v>RL</v>
          </cell>
          <cell r="G38">
            <v>44572</v>
          </cell>
          <cell r="J38" t="str">
            <v>List Price</v>
          </cell>
          <cell r="K38" t="str">
            <v>Quantity</v>
          </cell>
          <cell r="L38" t="str">
            <v>No</v>
          </cell>
        </row>
        <row r="39">
          <cell r="D39" t="str">
            <v>A006173</v>
          </cell>
          <cell r="E39" t="str">
            <v>AUD</v>
          </cell>
          <cell r="F39" t="str">
            <v>RL</v>
          </cell>
          <cell r="G39">
            <v>44572</v>
          </cell>
          <cell r="H39" t="str">
            <v>06/30/24</v>
          </cell>
          <cell r="J39" t="str">
            <v>List Price</v>
          </cell>
          <cell r="K39" t="str">
            <v>Quantity</v>
          </cell>
          <cell r="L39" t="str">
            <v>No</v>
          </cell>
        </row>
        <row r="40">
          <cell r="D40" t="str">
            <v>A006204</v>
          </cell>
          <cell r="E40" t="str">
            <v>AUD</v>
          </cell>
          <cell r="F40" t="str">
            <v>RL</v>
          </cell>
          <cell r="G40">
            <v>44572</v>
          </cell>
          <cell r="H40" t="str">
            <v>06/30/24</v>
          </cell>
          <cell r="J40" t="str">
            <v>List Price</v>
          </cell>
          <cell r="K40" t="str">
            <v>Quantity</v>
          </cell>
          <cell r="L40" t="str">
            <v>No</v>
          </cell>
        </row>
        <row r="41">
          <cell r="D41" t="str">
            <v>A111163</v>
          </cell>
          <cell r="E41" t="str">
            <v>AUD</v>
          </cell>
          <cell r="F41" t="str">
            <v>RL</v>
          </cell>
          <cell r="G41">
            <v>44572</v>
          </cell>
          <cell r="H41" t="str">
            <v>06/30/24</v>
          </cell>
          <cell r="J41" t="str">
            <v>List Price</v>
          </cell>
          <cell r="K41" t="str">
            <v>Quantity</v>
          </cell>
          <cell r="L41" t="str">
            <v>No</v>
          </cell>
        </row>
        <row r="42">
          <cell r="D42" t="str">
            <v>A111822</v>
          </cell>
          <cell r="E42" t="str">
            <v>AUD</v>
          </cell>
          <cell r="F42" t="str">
            <v>RL</v>
          </cell>
          <cell r="G42">
            <v>44572</v>
          </cell>
          <cell r="J42" t="str">
            <v>List Price</v>
          </cell>
          <cell r="K42" t="str">
            <v>Quantity</v>
          </cell>
          <cell r="L42" t="str">
            <v>No</v>
          </cell>
        </row>
        <row r="43">
          <cell r="D43" t="str">
            <v>A113334</v>
          </cell>
          <cell r="E43" t="str">
            <v>AUD</v>
          </cell>
          <cell r="F43" t="str">
            <v>RL</v>
          </cell>
          <cell r="G43">
            <v>44572</v>
          </cell>
          <cell r="J43" t="str">
            <v>List Price</v>
          </cell>
          <cell r="K43" t="str">
            <v>Quantity</v>
          </cell>
          <cell r="L43" t="str">
            <v>No</v>
          </cell>
        </row>
        <row r="44">
          <cell r="D44" t="str">
            <v>A113470</v>
          </cell>
          <cell r="E44" t="str">
            <v>AUD</v>
          </cell>
          <cell r="F44" t="str">
            <v>RL</v>
          </cell>
          <cell r="G44">
            <v>44572</v>
          </cell>
          <cell r="H44" t="str">
            <v>06/30/24</v>
          </cell>
          <cell r="J44" t="str">
            <v>List Price</v>
          </cell>
          <cell r="K44" t="str">
            <v>Quantity</v>
          </cell>
          <cell r="L44" t="str">
            <v>No</v>
          </cell>
        </row>
        <row r="45">
          <cell r="D45" t="str">
            <v>A113472</v>
          </cell>
          <cell r="E45" t="str">
            <v>AUD</v>
          </cell>
          <cell r="F45" t="str">
            <v>RL</v>
          </cell>
          <cell r="G45">
            <v>44572</v>
          </cell>
          <cell r="H45" t="str">
            <v>06/30/24</v>
          </cell>
          <cell r="J45" t="str">
            <v>List Price</v>
          </cell>
          <cell r="K45" t="str">
            <v>Quantity</v>
          </cell>
          <cell r="L45" t="str">
            <v>No</v>
          </cell>
        </row>
        <row r="46">
          <cell r="D46" t="str">
            <v>A116020</v>
          </cell>
          <cell r="E46" t="str">
            <v>AUD</v>
          </cell>
          <cell r="F46" t="str">
            <v>RL</v>
          </cell>
          <cell r="G46">
            <v>44572</v>
          </cell>
          <cell r="H46" t="str">
            <v>06/30/24</v>
          </cell>
          <cell r="J46" t="str">
            <v>List Price</v>
          </cell>
          <cell r="K46" t="str">
            <v>Quantity</v>
          </cell>
          <cell r="L46" t="str">
            <v>No</v>
          </cell>
        </row>
        <row r="47">
          <cell r="D47" t="str">
            <v>A358493</v>
          </cell>
          <cell r="E47" t="str">
            <v>AUD</v>
          </cell>
          <cell r="F47" t="str">
            <v>RL</v>
          </cell>
          <cell r="G47">
            <v>44572</v>
          </cell>
          <cell r="H47" t="str">
            <v>06/30/24</v>
          </cell>
          <cell r="J47" t="str">
            <v>List Price</v>
          </cell>
          <cell r="K47" t="str">
            <v>Quantity</v>
          </cell>
          <cell r="L47" t="str">
            <v>No</v>
          </cell>
        </row>
        <row r="48">
          <cell r="D48" t="str">
            <v>AR8780006</v>
          </cell>
          <cell r="E48" t="str">
            <v>AUD</v>
          </cell>
          <cell r="F48" t="str">
            <v>RL</v>
          </cell>
          <cell r="G48">
            <v>44572</v>
          </cell>
          <cell r="J48" t="str">
            <v>List Price</v>
          </cell>
          <cell r="K48" t="str">
            <v>Quantity</v>
          </cell>
          <cell r="L48" t="str">
            <v>No</v>
          </cell>
        </row>
        <row r="49">
          <cell r="D49" t="str">
            <v>AR8780007</v>
          </cell>
          <cell r="E49" t="str">
            <v>AUD</v>
          </cell>
          <cell r="F49" t="str">
            <v>RL</v>
          </cell>
          <cell r="G49">
            <v>44572</v>
          </cell>
          <cell r="J49" t="str">
            <v>List Price</v>
          </cell>
          <cell r="K49" t="str">
            <v>Quantity</v>
          </cell>
          <cell r="L49" t="str">
            <v>No</v>
          </cell>
        </row>
        <row r="50">
          <cell r="D50" t="str">
            <v>AX4100003</v>
          </cell>
          <cell r="E50" t="str">
            <v>AUD</v>
          </cell>
          <cell r="F50" t="str">
            <v>RL</v>
          </cell>
          <cell r="G50">
            <v>44572</v>
          </cell>
          <cell r="H50" t="str">
            <v>06/30/24</v>
          </cell>
          <cell r="J50" t="str">
            <v>List Price</v>
          </cell>
          <cell r="K50" t="str">
            <v>Quantity</v>
          </cell>
          <cell r="L50" t="str">
            <v>No</v>
          </cell>
        </row>
        <row r="51">
          <cell r="D51" t="str">
            <v>A000357</v>
          </cell>
          <cell r="E51" t="str">
            <v>AUD</v>
          </cell>
          <cell r="F51" t="str">
            <v>RL</v>
          </cell>
          <cell r="G51">
            <v>44572</v>
          </cell>
          <cell r="H51" t="str">
            <v>06/30/24</v>
          </cell>
          <cell r="J51" t="str">
            <v>List Price</v>
          </cell>
          <cell r="K51" t="str">
            <v>Quantity</v>
          </cell>
          <cell r="L51" t="str">
            <v>No</v>
          </cell>
        </row>
        <row r="52">
          <cell r="D52" t="str">
            <v>A000396</v>
          </cell>
          <cell r="E52" t="str">
            <v>AUD</v>
          </cell>
          <cell r="F52" t="str">
            <v>RL</v>
          </cell>
          <cell r="G52">
            <v>44572</v>
          </cell>
          <cell r="H52" t="str">
            <v>06/30/24</v>
          </cell>
          <cell r="J52" t="str">
            <v>List Price</v>
          </cell>
          <cell r="K52" t="str">
            <v>Quantity</v>
          </cell>
          <cell r="L52" t="str">
            <v>No</v>
          </cell>
        </row>
        <row r="53">
          <cell r="D53" t="str">
            <v>A000491</v>
          </cell>
          <cell r="E53" t="str">
            <v>AUD</v>
          </cell>
          <cell r="F53" t="str">
            <v>RL</v>
          </cell>
          <cell r="G53">
            <v>44572</v>
          </cell>
          <cell r="H53" t="str">
            <v>06/30/24</v>
          </cell>
          <cell r="J53" t="str">
            <v>List Price</v>
          </cell>
          <cell r="K53" t="str">
            <v>Quantity</v>
          </cell>
          <cell r="L53" t="str">
            <v>No</v>
          </cell>
        </row>
        <row r="54">
          <cell r="D54" t="str">
            <v>A001072</v>
          </cell>
          <cell r="E54" t="str">
            <v>AUD</v>
          </cell>
          <cell r="F54" t="str">
            <v>RL</v>
          </cell>
          <cell r="G54">
            <v>44572</v>
          </cell>
          <cell r="J54" t="str">
            <v>List Price</v>
          </cell>
          <cell r="K54" t="str">
            <v>Quantity</v>
          </cell>
          <cell r="L54" t="str">
            <v>No</v>
          </cell>
        </row>
        <row r="55">
          <cell r="D55" t="str">
            <v>A001092</v>
          </cell>
          <cell r="E55" t="str">
            <v>AUD</v>
          </cell>
          <cell r="F55" t="str">
            <v>RL</v>
          </cell>
          <cell r="G55">
            <v>44572</v>
          </cell>
          <cell r="H55" t="str">
            <v>06/30/24</v>
          </cell>
          <cell r="J55" t="str">
            <v>List Price</v>
          </cell>
          <cell r="K55" t="str">
            <v>Quantity</v>
          </cell>
          <cell r="L55" t="str">
            <v>No</v>
          </cell>
        </row>
        <row r="56">
          <cell r="D56" t="str">
            <v>A001098</v>
          </cell>
          <cell r="E56" t="str">
            <v>AUD</v>
          </cell>
          <cell r="F56" t="str">
            <v>RL</v>
          </cell>
          <cell r="G56">
            <v>44572</v>
          </cell>
          <cell r="J56" t="str">
            <v>List Price</v>
          </cell>
          <cell r="K56" t="str">
            <v>Quantity</v>
          </cell>
          <cell r="L56" t="str">
            <v>No</v>
          </cell>
        </row>
        <row r="57">
          <cell r="D57" t="str">
            <v>A001445</v>
          </cell>
          <cell r="E57" t="str">
            <v>AUD</v>
          </cell>
          <cell r="F57" t="str">
            <v>RL</v>
          </cell>
          <cell r="G57">
            <v>44572</v>
          </cell>
          <cell r="J57" t="str">
            <v>List Price</v>
          </cell>
          <cell r="K57" t="str">
            <v>Quantity</v>
          </cell>
          <cell r="L57" t="str">
            <v>No</v>
          </cell>
        </row>
        <row r="58">
          <cell r="D58" t="str">
            <v>A001448</v>
          </cell>
          <cell r="E58" t="str">
            <v>AUD</v>
          </cell>
          <cell r="F58" t="str">
            <v>RL</v>
          </cell>
          <cell r="G58">
            <v>44572</v>
          </cell>
          <cell r="J58" t="str">
            <v>List Price</v>
          </cell>
          <cell r="K58" t="str">
            <v>Quantity</v>
          </cell>
          <cell r="L58" t="str">
            <v>No</v>
          </cell>
        </row>
        <row r="59">
          <cell r="D59" t="str">
            <v>A001543</v>
          </cell>
          <cell r="E59" t="str">
            <v>AUD</v>
          </cell>
          <cell r="F59" t="str">
            <v>RL</v>
          </cell>
          <cell r="G59">
            <v>44572</v>
          </cell>
          <cell r="H59" t="str">
            <v>06/30/24</v>
          </cell>
          <cell r="J59" t="str">
            <v>List Price</v>
          </cell>
          <cell r="K59" t="str">
            <v>Quantity</v>
          </cell>
          <cell r="L59" t="str">
            <v>No</v>
          </cell>
        </row>
        <row r="60">
          <cell r="D60" t="str">
            <v>A002539</v>
          </cell>
          <cell r="E60" t="str">
            <v>AUD</v>
          </cell>
          <cell r="F60" t="str">
            <v>RL</v>
          </cell>
          <cell r="G60">
            <v>44572</v>
          </cell>
          <cell r="H60" t="str">
            <v>06/30/24</v>
          </cell>
          <cell r="J60" t="str">
            <v>List Price</v>
          </cell>
          <cell r="K60" t="str">
            <v>Quantity</v>
          </cell>
          <cell r="L60" t="str">
            <v>No</v>
          </cell>
        </row>
        <row r="61">
          <cell r="D61" t="str">
            <v>AZ832.803</v>
          </cell>
          <cell r="E61" t="str">
            <v>AUD</v>
          </cell>
          <cell r="F61" t="str">
            <v>RL</v>
          </cell>
          <cell r="G61">
            <v>44572</v>
          </cell>
          <cell r="J61" t="str">
            <v>List Price</v>
          </cell>
          <cell r="K61" t="str">
            <v>Quantity</v>
          </cell>
          <cell r="L61" t="str">
            <v>No</v>
          </cell>
        </row>
        <row r="62">
          <cell r="D62" t="str">
            <v>BC2480001B</v>
          </cell>
          <cell r="E62" t="str">
            <v>AUD</v>
          </cell>
          <cell r="F62" t="str">
            <v>EA</v>
          </cell>
          <cell r="G62">
            <v>44572</v>
          </cell>
          <cell r="H62" t="str">
            <v>06/30/24</v>
          </cell>
          <cell r="J62" t="str">
            <v>List Price</v>
          </cell>
          <cell r="K62" t="str">
            <v>Quantity</v>
          </cell>
          <cell r="L62" t="str">
            <v>No</v>
          </cell>
        </row>
        <row r="63">
          <cell r="D63" t="str">
            <v>BC2510001B</v>
          </cell>
          <cell r="E63" t="str">
            <v>AUD</v>
          </cell>
          <cell r="F63" t="str">
            <v>EA</v>
          </cell>
          <cell r="G63">
            <v>44572</v>
          </cell>
          <cell r="H63" t="str">
            <v>06/30/24</v>
          </cell>
          <cell r="J63" t="str">
            <v>List Price</v>
          </cell>
          <cell r="K63" t="str">
            <v>Quantity</v>
          </cell>
          <cell r="L63" t="str">
            <v>No</v>
          </cell>
        </row>
        <row r="64">
          <cell r="D64" t="str">
            <v>BC2570001B</v>
          </cell>
          <cell r="E64" t="str">
            <v>AUD</v>
          </cell>
          <cell r="F64" t="str">
            <v>EA</v>
          </cell>
          <cell r="G64">
            <v>44572</v>
          </cell>
          <cell r="H64" t="str">
            <v>06/30/24</v>
          </cell>
          <cell r="J64" t="str">
            <v>List Price</v>
          </cell>
          <cell r="K64" t="str">
            <v>Quantity</v>
          </cell>
          <cell r="L64" t="str">
            <v>No</v>
          </cell>
        </row>
        <row r="65">
          <cell r="D65" t="str">
            <v>BC8750002</v>
          </cell>
          <cell r="E65" t="str">
            <v>AUD</v>
          </cell>
          <cell r="F65" t="str">
            <v>RL</v>
          </cell>
          <cell r="G65">
            <v>44572</v>
          </cell>
          <cell r="H65" t="str">
            <v>06/30/24</v>
          </cell>
          <cell r="J65" t="str">
            <v>List Price</v>
          </cell>
          <cell r="K65" t="str">
            <v>Quantity</v>
          </cell>
          <cell r="L65" t="str">
            <v>No</v>
          </cell>
        </row>
        <row r="66">
          <cell r="D66" t="str">
            <v>BH2350002</v>
          </cell>
          <cell r="E66" t="str">
            <v>AUD</v>
          </cell>
          <cell r="F66" t="str">
            <v>RL</v>
          </cell>
          <cell r="G66">
            <v>44572</v>
          </cell>
          <cell r="H66" t="str">
            <v>06/30/24</v>
          </cell>
          <cell r="J66" t="str">
            <v>List Price</v>
          </cell>
          <cell r="K66" t="str">
            <v>Quantity</v>
          </cell>
          <cell r="L66" t="str">
            <v>No</v>
          </cell>
        </row>
        <row r="67">
          <cell r="D67" t="str">
            <v>BI9470001</v>
          </cell>
          <cell r="E67" t="str">
            <v>AUD</v>
          </cell>
          <cell r="F67" t="str">
            <v>EA</v>
          </cell>
          <cell r="G67">
            <v>44572</v>
          </cell>
          <cell r="H67" t="str">
            <v>06/30/24</v>
          </cell>
          <cell r="J67" t="str">
            <v>List Price</v>
          </cell>
          <cell r="K67" t="str">
            <v>Quantity</v>
          </cell>
          <cell r="L67" t="str">
            <v>No</v>
          </cell>
        </row>
        <row r="68">
          <cell r="D68" t="str">
            <v>BL4330001</v>
          </cell>
          <cell r="E68" t="str">
            <v>AUD</v>
          </cell>
          <cell r="F68" t="str">
            <v>RL</v>
          </cell>
          <cell r="G68">
            <v>44572</v>
          </cell>
          <cell r="H68" t="str">
            <v>06/30/24</v>
          </cell>
          <cell r="J68" t="str">
            <v>List Price</v>
          </cell>
          <cell r="K68" t="str">
            <v>Quantity</v>
          </cell>
          <cell r="L68" t="str">
            <v>No</v>
          </cell>
        </row>
        <row r="69">
          <cell r="D69" t="str">
            <v>BL4330002</v>
          </cell>
          <cell r="E69" t="str">
            <v>AUD</v>
          </cell>
          <cell r="F69" t="str">
            <v>RL</v>
          </cell>
          <cell r="G69">
            <v>44572</v>
          </cell>
          <cell r="H69" t="str">
            <v>06/30/24</v>
          </cell>
          <cell r="J69" t="str">
            <v>List Price</v>
          </cell>
          <cell r="K69" t="str">
            <v>Quantity</v>
          </cell>
          <cell r="L69" t="str">
            <v>No</v>
          </cell>
        </row>
        <row r="70">
          <cell r="D70" t="str">
            <v>BP6330001</v>
          </cell>
          <cell r="E70" t="str">
            <v>AUD</v>
          </cell>
          <cell r="F70" t="str">
            <v>BX</v>
          </cell>
          <cell r="G70">
            <v>44572</v>
          </cell>
          <cell r="H70" t="str">
            <v>06/30/24</v>
          </cell>
          <cell r="J70" t="str">
            <v>List Price</v>
          </cell>
          <cell r="K70" t="str">
            <v>Quantity</v>
          </cell>
          <cell r="L70" t="str">
            <v>No</v>
          </cell>
        </row>
        <row r="71">
          <cell r="D71" t="str">
            <v>BP6340001</v>
          </cell>
          <cell r="E71" t="str">
            <v>AUD</v>
          </cell>
          <cell r="F71" t="str">
            <v>BX</v>
          </cell>
          <cell r="G71">
            <v>44572</v>
          </cell>
          <cell r="H71" t="str">
            <v>06/30/24</v>
          </cell>
          <cell r="J71" t="str">
            <v>List Price</v>
          </cell>
          <cell r="K71" t="str">
            <v>Quantity</v>
          </cell>
          <cell r="L71" t="str">
            <v>No</v>
          </cell>
        </row>
        <row r="72">
          <cell r="D72" t="str">
            <v>BP8610001</v>
          </cell>
          <cell r="E72" t="str">
            <v>AUD</v>
          </cell>
          <cell r="F72" t="str">
            <v>RL</v>
          </cell>
          <cell r="G72">
            <v>44572</v>
          </cell>
          <cell r="J72" t="str">
            <v>List Price</v>
          </cell>
          <cell r="K72" t="str">
            <v>Quantity</v>
          </cell>
          <cell r="L72" t="str">
            <v>No</v>
          </cell>
        </row>
        <row r="73">
          <cell r="D73" t="str">
            <v>BQ8410002</v>
          </cell>
          <cell r="E73" t="str">
            <v>AUD</v>
          </cell>
          <cell r="F73" t="str">
            <v>RL</v>
          </cell>
          <cell r="G73">
            <v>44572</v>
          </cell>
          <cell r="J73" t="str">
            <v>List Price</v>
          </cell>
          <cell r="K73" t="str">
            <v>Quantity</v>
          </cell>
          <cell r="L73" t="str">
            <v>No</v>
          </cell>
        </row>
        <row r="74">
          <cell r="D74" t="str">
            <v>BS4340001</v>
          </cell>
          <cell r="E74" t="str">
            <v>AUD</v>
          </cell>
          <cell r="F74" t="str">
            <v>RL</v>
          </cell>
          <cell r="G74">
            <v>44572</v>
          </cell>
          <cell r="J74" t="str">
            <v>List Price</v>
          </cell>
          <cell r="K74" t="str">
            <v>Quantity</v>
          </cell>
          <cell r="L74" t="str">
            <v>No</v>
          </cell>
        </row>
        <row r="75">
          <cell r="D75" t="str">
            <v>BS4340003</v>
          </cell>
          <cell r="E75" t="str">
            <v>AUD</v>
          </cell>
          <cell r="F75" t="str">
            <v>RL</v>
          </cell>
          <cell r="G75">
            <v>44572</v>
          </cell>
          <cell r="J75" t="str">
            <v>List Price</v>
          </cell>
          <cell r="K75" t="str">
            <v>Quantity</v>
          </cell>
          <cell r="L75" t="str">
            <v>No</v>
          </cell>
        </row>
        <row r="76">
          <cell r="D76" t="str">
            <v>BS6100002</v>
          </cell>
          <cell r="E76" t="str">
            <v>AUD</v>
          </cell>
          <cell r="F76" t="str">
            <v>RL</v>
          </cell>
          <cell r="G76">
            <v>44572</v>
          </cell>
          <cell r="J76" t="str">
            <v>List Price</v>
          </cell>
          <cell r="K76" t="str">
            <v>Quantity</v>
          </cell>
          <cell r="L76" t="str">
            <v>No</v>
          </cell>
        </row>
        <row r="77">
          <cell r="D77" t="str">
            <v>BS6100003</v>
          </cell>
          <cell r="E77" t="str">
            <v>AUD</v>
          </cell>
          <cell r="F77" t="str">
            <v>RL</v>
          </cell>
          <cell r="G77">
            <v>44572</v>
          </cell>
          <cell r="J77" t="str">
            <v>List Price</v>
          </cell>
          <cell r="K77" t="str">
            <v>Quantity</v>
          </cell>
          <cell r="L77" t="str">
            <v>No</v>
          </cell>
        </row>
        <row r="78">
          <cell r="D78" t="str">
            <v>BV7490002</v>
          </cell>
          <cell r="E78" t="str">
            <v>AUD</v>
          </cell>
          <cell r="F78" t="str">
            <v>RL</v>
          </cell>
          <cell r="G78">
            <v>44572</v>
          </cell>
          <cell r="J78" t="str">
            <v>List Price</v>
          </cell>
          <cell r="K78" t="str">
            <v>Quantity</v>
          </cell>
          <cell r="L78" t="str">
            <v>No</v>
          </cell>
        </row>
        <row r="79">
          <cell r="D79" t="str">
            <v>CA3750001B</v>
          </cell>
          <cell r="E79" t="str">
            <v>AUD</v>
          </cell>
          <cell r="F79" t="str">
            <v>EA</v>
          </cell>
          <cell r="G79">
            <v>44572</v>
          </cell>
          <cell r="J79" t="str">
            <v>List Price</v>
          </cell>
          <cell r="K79" t="str">
            <v>Quantity</v>
          </cell>
          <cell r="L79" t="str">
            <v>No</v>
          </cell>
        </row>
        <row r="80">
          <cell r="D80" t="str">
            <v>CA6970001B</v>
          </cell>
          <cell r="E80" t="str">
            <v>AUD</v>
          </cell>
          <cell r="F80" t="str">
            <v>EA</v>
          </cell>
          <cell r="G80">
            <v>44572</v>
          </cell>
          <cell r="J80" t="str">
            <v>List Price</v>
          </cell>
          <cell r="K80" t="str">
            <v>Quantity</v>
          </cell>
          <cell r="L80" t="str">
            <v>No</v>
          </cell>
        </row>
        <row r="81">
          <cell r="D81" t="str">
            <v>CB3001</v>
          </cell>
          <cell r="E81" t="str">
            <v>AUD</v>
          </cell>
          <cell r="F81" t="str">
            <v>RL</v>
          </cell>
          <cell r="G81">
            <v>44572</v>
          </cell>
          <cell r="H81" t="str">
            <v>06/30/24</v>
          </cell>
          <cell r="J81" t="str">
            <v>List Price</v>
          </cell>
          <cell r="K81" t="str">
            <v>Quantity</v>
          </cell>
          <cell r="L81" t="str">
            <v>No</v>
          </cell>
        </row>
        <row r="82">
          <cell r="D82" t="str">
            <v>CB3002</v>
          </cell>
          <cell r="E82" t="str">
            <v>AUD</v>
          </cell>
          <cell r="F82" t="str">
            <v>RL</v>
          </cell>
          <cell r="G82">
            <v>44572</v>
          </cell>
          <cell r="H82" t="str">
            <v>06/30/24</v>
          </cell>
          <cell r="J82" t="str">
            <v>List Price</v>
          </cell>
          <cell r="K82" t="str">
            <v>Quantity</v>
          </cell>
          <cell r="L82" t="str">
            <v>No</v>
          </cell>
        </row>
        <row r="83">
          <cell r="D83" t="str">
            <v>CB3003</v>
          </cell>
          <cell r="E83" t="str">
            <v>AUD</v>
          </cell>
          <cell r="F83" t="str">
            <v>RL</v>
          </cell>
          <cell r="G83">
            <v>44572</v>
          </cell>
          <cell r="H83" t="str">
            <v>06/30/24</v>
          </cell>
          <cell r="J83" t="str">
            <v>List Price</v>
          </cell>
          <cell r="K83" t="str">
            <v>Quantity</v>
          </cell>
          <cell r="L83" t="str">
            <v>No</v>
          </cell>
        </row>
        <row r="84">
          <cell r="D84" t="str">
            <v>CB3004</v>
          </cell>
          <cell r="E84" t="str">
            <v>AUD</v>
          </cell>
          <cell r="F84" t="str">
            <v>RL</v>
          </cell>
          <cell r="G84">
            <v>44572</v>
          </cell>
          <cell r="H84" t="str">
            <v>06/30/24</v>
          </cell>
          <cell r="J84" t="str">
            <v>List Price</v>
          </cell>
          <cell r="K84" t="str">
            <v>Quantity</v>
          </cell>
          <cell r="L84" t="str">
            <v>No</v>
          </cell>
        </row>
        <row r="85">
          <cell r="D85" t="str">
            <v>CB4003</v>
          </cell>
          <cell r="E85" t="str">
            <v>AUD</v>
          </cell>
          <cell r="F85" t="str">
            <v>RL</v>
          </cell>
          <cell r="G85">
            <v>44572</v>
          </cell>
          <cell r="H85" t="str">
            <v>06/30/24</v>
          </cell>
          <cell r="J85" t="str">
            <v>List Price</v>
          </cell>
          <cell r="K85" t="str">
            <v>Quantity</v>
          </cell>
          <cell r="L85" t="str">
            <v>No</v>
          </cell>
        </row>
        <row r="86">
          <cell r="D86" t="str">
            <v>CB4004</v>
          </cell>
          <cell r="E86" t="str">
            <v>AUD</v>
          </cell>
          <cell r="F86" t="str">
            <v>RL</v>
          </cell>
          <cell r="G86">
            <v>44572</v>
          </cell>
          <cell r="H86" t="str">
            <v>06/30/24</v>
          </cell>
          <cell r="J86" t="str">
            <v>List Price</v>
          </cell>
          <cell r="K86" t="str">
            <v>Quantity</v>
          </cell>
          <cell r="L86" t="str">
            <v>No</v>
          </cell>
        </row>
        <row r="87">
          <cell r="D87" t="str">
            <v>CB4007</v>
          </cell>
          <cell r="E87" t="str">
            <v>AUD</v>
          </cell>
          <cell r="F87" t="str">
            <v>RL</v>
          </cell>
          <cell r="G87">
            <v>44572</v>
          </cell>
          <cell r="H87" t="str">
            <v>06/30/24</v>
          </cell>
          <cell r="J87" t="str">
            <v>List Price</v>
          </cell>
          <cell r="K87" t="str">
            <v>Quantity</v>
          </cell>
          <cell r="L87" t="str">
            <v>No</v>
          </cell>
        </row>
        <row r="88">
          <cell r="D88" t="str">
            <v>CB4008</v>
          </cell>
          <cell r="E88" t="str">
            <v>AUD</v>
          </cell>
          <cell r="F88" t="str">
            <v>RL</v>
          </cell>
          <cell r="G88">
            <v>44572</v>
          </cell>
          <cell r="H88" t="str">
            <v>06/30/24</v>
          </cell>
          <cell r="J88" t="str">
            <v>List Price</v>
          </cell>
          <cell r="K88" t="str">
            <v>Quantity</v>
          </cell>
          <cell r="L88" t="str">
            <v>No</v>
          </cell>
        </row>
        <row r="89">
          <cell r="D89" t="str">
            <v>CB5002</v>
          </cell>
          <cell r="E89" t="str">
            <v>AUD</v>
          </cell>
          <cell r="F89" t="str">
            <v>RL</v>
          </cell>
          <cell r="G89">
            <v>44572</v>
          </cell>
          <cell r="H89" t="str">
            <v>06/30/24</v>
          </cell>
          <cell r="J89" t="str">
            <v>List Price</v>
          </cell>
          <cell r="K89" t="str">
            <v>Quantity</v>
          </cell>
          <cell r="L89" t="str">
            <v>No</v>
          </cell>
        </row>
        <row r="90">
          <cell r="D90" t="str">
            <v>CB5003</v>
          </cell>
          <cell r="E90" t="str">
            <v>AUD</v>
          </cell>
          <cell r="F90" t="str">
            <v>RL</v>
          </cell>
          <cell r="G90">
            <v>44572</v>
          </cell>
          <cell r="H90" t="str">
            <v>06/30/24</v>
          </cell>
          <cell r="J90" t="str">
            <v>List Price</v>
          </cell>
          <cell r="K90" t="str">
            <v>Quantity</v>
          </cell>
          <cell r="L90" t="str">
            <v>No</v>
          </cell>
        </row>
        <row r="91">
          <cell r="D91" t="str">
            <v>CB5004</v>
          </cell>
          <cell r="E91" t="str">
            <v>AUD</v>
          </cell>
          <cell r="F91" t="str">
            <v>RL</v>
          </cell>
          <cell r="G91">
            <v>44572</v>
          </cell>
          <cell r="H91" t="str">
            <v>06/30/24</v>
          </cell>
          <cell r="J91" t="str">
            <v>List Price</v>
          </cell>
          <cell r="K91" t="str">
            <v>Quantity</v>
          </cell>
          <cell r="L91" t="str">
            <v>No</v>
          </cell>
        </row>
        <row r="92">
          <cell r="D92" t="str">
            <v>CB5005</v>
          </cell>
          <cell r="E92" t="str">
            <v>AUD</v>
          </cell>
          <cell r="F92" t="str">
            <v>RL</v>
          </cell>
          <cell r="G92">
            <v>44572</v>
          </cell>
          <cell r="H92" t="str">
            <v>06/30/24</v>
          </cell>
          <cell r="J92" t="str">
            <v>List Price</v>
          </cell>
          <cell r="K92" t="str">
            <v>Quantity</v>
          </cell>
          <cell r="L92" t="str">
            <v>No</v>
          </cell>
        </row>
        <row r="93">
          <cell r="D93" t="str">
            <v>CB5006</v>
          </cell>
          <cell r="E93" t="str">
            <v>AUD</v>
          </cell>
          <cell r="F93" t="str">
            <v>RL</v>
          </cell>
          <cell r="G93">
            <v>44572</v>
          </cell>
          <cell r="H93" t="str">
            <v>06/30/24</v>
          </cell>
          <cell r="J93" t="str">
            <v>List Price</v>
          </cell>
          <cell r="K93" t="str">
            <v>Quantity</v>
          </cell>
          <cell r="L93" t="str">
            <v>No</v>
          </cell>
        </row>
        <row r="94">
          <cell r="D94" t="str">
            <v>CB5007</v>
          </cell>
          <cell r="E94" t="str">
            <v>AUD</v>
          </cell>
          <cell r="F94" t="str">
            <v>RL</v>
          </cell>
          <cell r="G94">
            <v>44572</v>
          </cell>
          <cell r="H94" t="str">
            <v>06/30/24</v>
          </cell>
          <cell r="J94" t="str">
            <v>List Price</v>
          </cell>
          <cell r="K94" t="str">
            <v>Quantity</v>
          </cell>
          <cell r="L94" t="str">
            <v>No</v>
          </cell>
        </row>
        <row r="95">
          <cell r="D95" t="str">
            <v>CB5008</v>
          </cell>
          <cell r="E95" t="str">
            <v>AUD</v>
          </cell>
          <cell r="F95" t="str">
            <v>RL</v>
          </cell>
          <cell r="G95">
            <v>44572</v>
          </cell>
          <cell r="H95" t="str">
            <v>06/30/24</v>
          </cell>
          <cell r="J95" t="str">
            <v>List Price</v>
          </cell>
          <cell r="K95" t="str">
            <v>Quantity</v>
          </cell>
          <cell r="L95" t="str">
            <v>No</v>
          </cell>
        </row>
        <row r="96">
          <cell r="D96" t="str">
            <v>CB5026</v>
          </cell>
          <cell r="E96" t="str">
            <v>AUD</v>
          </cell>
          <cell r="F96" t="str">
            <v>RL</v>
          </cell>
          <cell r="G96">
            <v>44572</v>
          </cell>
          <cell r="H96" t="str">
            <v>06/30/24</v>
          </cell>
          <cell r="J96" t="str">
            <v>List Price</v>
          </cell>
          <cell r="K96" t="str">
            <v>Quantity</v>
          </cell>
          <cell r="L96" t="str">
            <v>No</v>
          </cell>
        </row>
        <row r="97">
          <cell r="D97" t="str">
            <v>CB5028</v>
          </cell>
          <cell r="E97" t="str">
            <v>AUD</v>
          </cell>
          <cell r="F97" t="str">
            <v>RL</v>
          </cell>
          <cell r="G97">
            <v>44572</v>
          </cell>
          <cell r="H97" t="str">
            <v>06/30/24</v>
          </cell>
          <cell r="J97" t="str">
            <v>List Price</v>
          </cell>
          <cell r="K97" t="str">
            <v>Quantity</v>
          </cell>
          <cell r="L97" t="str">
            <v>No</v>
          </cell>
        </row>
        <row r="98">
          <cell r="D98" t="str">
            <v>CB5030</v>
          </cell>
          <cell r="E98" t="str">
            <v>AUD</v>
          </cell>
          <cell r="F98" t="str">
            <v>RL</v>
          </cell>
          <cell r="G98">
            <v>44572</v>
          </cell>
          <cell r="H98" t="str">
            <v>06/30/24</v>
          </cell>
          <cell r="J98" t="str">
            <v>List Price</v>
          </cell>
          <cell r="K98" t="str">
            <v>Quantity</v>
          </cell>
          <cell r="L98" t="str">
            <v>No</v>
          </cell>
        </row>
        <row r="99">
          <cell r="D99" t="str">
            <v>CB5032</v>
          </cell>
          <cell r="E99" t="str">
            <v>AUD</v>
          </cell>
          <cell r="F99" t="str">
            <v>RL</v>
          </cell>
          <cell r="G99">
            <v>44572</v>
          </cell>
          <cell r="H99" t="str">
            <v>06/30/24</v>
          </cell>
          <cell r="J99" t="str">
            <v>List Price</v>
          </cell>
          <cell r="K99" t="str">
            <v>Quantity</v>
          </cell>
          <cell r="L99" t="str">
            <v>No</v>
          </cell>
        </row>
        <row r="100">
          <cell r="D100" t="str">
            <v>CB8000001</v>
          </cell>
          <cell r="E100" t="str">
            <v>AUD</v>
          </cell>
          <cell r="F100" t="str">
            <v>RL</v>
          </cell>
          <cell r="G100">
            <v>44572</v>
          </cell>
          <cell r="J100" t="str">
            <v>List Price</v>
          </cell>
          <cell r="K100" t="str">
            <v>Quantity</v>
          </cell>
          <cell r="L100" t="str">
            <v>No</v>
          </cell>
        </row>
        <row r="101">
          <cell r="D101" t="str">
            <v>CB8490005</v>
          </cell>
          <cell r="E101" t="str">
            <v>AUD</v>
          </cell>
          <cell r="F101" t="str">
            <v>RL</v>
          </cell>
          <cell r="G101">
            <v>44572</v>
          </cell>
          <cell r="J101" t="str">
            <v>List Price</v>
          </cell>
          <cell r="K101" t="str">
            <v>Quantity</v>
          </cell>
          <cell r="L101" t="str">
            <v>No</v>
          </cell>
        </row>
        <row r="102">
          <cell r="D102" t="str">
            <v>CB8490008</v>
          </cell>
          <cell r="E102" t="str">
            <v>AUD</v>
          </cell>
          <cell r="F102" t="str">
            <v>RL</v>
          </cell>
          <cell r="G102">
            <v>44572</v>
          </cell>
          <cell r="H102" t="str">
            <v>06/30/24</v>
          </cell>
          <cell r="J102" t="str">
            <v>List Price</v>
          </cell>
          <cell r="K102" t="str">
            <v>Quantity</v>
          </cell>
          <cell r="L102" t="str">
            <v>No</v>
          </cell>
        </row>
        <row r="103">
          <cell r="D103" t="str">
            <v>CB8660262</v>
          </cell>
          <cell r="E103" t="str">
            <v>AUD</v>
          </cell>
          <cell r="F103" t="str">
            <v>RL</v>
          </cell>
          <cell r="G103">
            <v>44572</v>
          </cell>
          <cell r="H103" t="str">
            <v>06/30/24</v>
          </cell>
          <cell r="J103" t="str">
            <v>List Price</v>
          </cell>
          <cell r="K103" t="str">
            <v>Quantity</v>
          </cell>
          <cell r="L103" t="str">
            <v>No</v>
          </cell>
        </row>
        <row r="104">
          <cell r="D104" t="str">
            <v>CB8690002</v>
          </cell>
          <cell r="E104" t="str">
            <v>AUD</v>
          </cell>
          <cell r="F104" t="str">
            <v>RL</v>
          </cell>
          <cell r="G104">
            <v>44572</v>
          </cell>
          <cell r="H104" t="str">
            <v>06/30/24</v>
          </cell>
          <cell r="J104" t="str">
            <v>List Price</v>
          </cell>
          <cell r="K104" t="str">
            <v>Quantity</v>
          </cell>
          <cell r="L104" t="str">
            <v>No</v>
          </cell>
        </row>
        <row r="105">
          <cell r="D105" t="str">
            <v>CB9810255</v>
          </cell>
          <cell r="E105" t="str">
            <v>AUD</v>
          </cell>
          <cell r="F105" t="str">
            <v>RL</v>
          </cell>
          <cell r="G105">
            <v>44572</v>
          </cell>
          <cell r="J105" t="str">
            <v>List Price</v>
          </cell>
          <cell r="K105" t="str">
            <v>Quantity</v>
          </cell>
          <cell r="L105" t="str">
            <v>No</v>
          </cell>
        </row>
        <row r="106">
          <cell r="D106" t="str">
            <v>CB9810256</v>
          </cell>
          <cell r="E106" t="str">
            <v>AUD</v>
          </cell>
          <cell r="F106" t="str">
            <v>RL</v>
          </cell>
          <cell r="G106">
            <v>44572</v>
          </cell>
          <cell r="J106" t="str">
            <v>List Price</v>
          </cell>
          <cell r="K106" t="str">
            <v>Quantity</v>
          </cell>
          <cell r="L106" t="str">
            <v>No</v>
          </cell>
        </row>
        <row r="107">
          <cell r="D107" t="str">
            <v>CD1060007</v>
          </cell>
          <cell r="E107" t="str">
            <v>AUD</v>
          </cell>
          <cell r="F107" t="str">
            <v>RL</v>
          </cell>
          <cell r="G107">
            <v>44572</v>
          </cell>
          <cell r="H107" t="str">
            <v>06/30/24</v>
          </cell>
          <cell r="J107" t="str">
            <v>List Price</v>
          </cell>
          <cell r="K107" t="str">
            <v>Quantity</v>
          </cell>
          <cell r="L107" t="str">
            <v>No</v>
          </cell>
        </row>
        <row r="108">
          <cell r="D108" t="str">
            <v>CE3380004</v>
          </cell>
          <cell r="E108" t="str">
            <v>AUD</v>
          </cell>
          <cell r="F108" t="str">
            <v>RL</v>
          </cell>
          <cell r="G108">
            <v>44572</v>
          </cell>
          <cell r="H108" t="str">
            <v>06/30/24</v>
          </cell>
          <cell r="J108" t="str">
            <v>List Price</v>
          </cell>
          <cell r="K108" t="str">
            <v>Quantity</v>
          </cell>
          <cell r="L108" t="str">
            <v>No</v>
          </cell>
        </row>
        <row r="109">
          <cell r="D109" t="str">
            <v>CE3430005</v>
          </cell>
          <cell r="E109" t="str">
            <v>AUD</v>
          </cell>
          <cell r="F109" t="str">
            <v>RL</v>
          </cell>
          <cell r="G109">
            <v>44572</v>
          </cell>
          <cell r="H109" t="str">
            <v>06/30/24</v>
          </cell>
          <cell r="J109" t="str">
            <v>List Price</v>
          </cell>
          <cell r="K109" t="str">
            <v>Quantity</v>
          </cell>
          <cell r="L109" t="str">
            <v>No</v>
          </cell>
        </row>
        <row r="110">
          <cell r="D110" t="str">
            <v>CE3430006</v>
          </cell>
          <cell r="E110" t="str">
            <v>AUD</v>
          </cell>
          <cell r="F110" t="str">
            <v>RL</v>
          </cell>
          <cell r="G110">
            <v>44572</v>
          </cell>
          <cell r="H110" t="str">
            <v>06/30/24</v>
          </cell>
          <cell r="J110" t="str">
            <v>List Price</v>
          </cell>
          <cell r="K110" t="str">
            <v>Quantity</v>
          </cell>
          <cell r="L110" t="str">
            <v>No</v>
          </cell>
        </row>
        <row r="111">
          <cell r="D111" t="str">
            <v>CE3600012</v>
          </cell>
          <cell r="E111" t="str">
            <v>AUD</v>
          </cell>
          <cell r="F111" t="str">
            <v>RL</v>
          </cell>
          <cell r="G111">
            <v>44572</v>
          </cell>
          <cell r="H111" t="str">
            <v>06/30/24</v>
          </cell>
          <cell r="J111" t="str">
            <v>List Price</v>
          </cell>
          <cell r="K111" t="str">
            <v>Quantity</v>
          </cell>
          <cell r="L111" t="str">
            <v>No</v>
          </cell>
        </row>
        <row r="112">
          <cell r="D112" t="str">
            <v>CE3600013</v>
          </cell>
          <cell r="E112" t="str">
            <v>AUD</v>
          </cell>
          <cell r="F112" t="str">
            <v>RL</v>
          </cell>
          <cell r="G112">
            <v>44572</v>
          </cell>
          <cell r="H112" t="str">
            <v>06/30/24</v>
          </cell>
          <cell r="J112" t="str">
            <v>List Price</v>
          </cell>
          <cell r="K112" t="str">
            <v>Quantity</v>
          </cell>
          <cell r="L112" t="str">
            <v>No</v>
          </cell>
        </row>
        <row r="113">
          <cell r="D113" t="str">
            <v>CE3610008</v>
          </cell>
          <cell r="E113" t="str">
            <v>AUD</v>
          </cell>
          <cell r="F113" t="str">
            <v>RL</v>
          </cell>
          <cell r="G113">
            <v>44572</v>
          </cell>
          <cell r="H113" t="str">
            <v>06/30/24</v>
          </cell>
          <cell r="J113" t="str">
            <v>List Price</v>
          </cell>
          <cell r="K113" t="str">
            <v>Quantity</v>
          </cell>
          <cell r="L113" t="str">
            <v>No</v>
          </cell>
        </row>
        <row r="114">
          <cell r="D114" t="str">
            <v>CE3610009</v>
          </cell>
          <cell r="E114" t="str">
            <v>AUD</v>
          </cell>
          <cell r="F114" t="str">
            <v>RL</v>
          </cell>
          <cell r="G114">
            <v>44572</v>
          </cell>
          <cell r="H114" t="str">
            <v>06/30/24</v>
          </cell>
          <cell r="J114" t="str">
            <v>List Price</v>
          </cell>
          <cell r="K114" t="str">
            <v>Quantity</v>
          </cell>
          <cell r="L114" t="str">
            <v>No</v>
          </cell>
        </row>
        <row r="115">
          <cell r="D115" t="str">
            <v>CG8470002</v>
          </cell>
          <cell r="E115" t="str">
            <v>AUD</v>
          </cell>
          <cell r="F115" t="str">
            <v>RL</v>
          </cell>
          <cell r="G115">
            <v>44572</v>
          </cell>
          <cell r="H115" t="str">
            <v>06/30/24</v>
          </cell>
          <cell r="J115" t="str">
            <v>List Price</v>
          </cell>
          <cell r="K115" t="str">
            <v>Quantity</v>
          </cell>
          <cell r="L115" t="str">
            <v>No</v>
          </cell>
        </row>
        <row r="116">
          <cell r="D116" t="str">
            <v>DB0023</v>
          </cell>
          <cell r="E116" t="str">
            <v>AUD</v>
          </cell>
          <cell r="F116" t="str">
            <v>RL</v>
          </cell>
          <cell r="G116">
            <v>44572</v>
          </cell>
          <cell r="H116" t="str">
            <v>06/30/24</v>
          </cell>
          <cell r="J116" t="str">
            <v>List Price</v>
          </cell>
          <cell r="K116" t="str">
            <v>Quantity</v>
          </cell>
          <cell r="L116" t="str">
            <v>No</v>
          </cell>
        </row>
        <row r="117">
          <cell r="D117" t="str">
            <v>DB0045</v>
          </cell>
          <cell r="E117" t="str">
            <v>AUD</v>
          </cell>
          <cell r="F117" t="str">
            <v>RL</v>
          </cell>
          <cell r="G117">
            <v>44572</v>
          </cell>
          <cell r="H117" t="str">
            <v>06/30/24</v>
          </cell>
          <cell r="J117" t="str">
            <v>List Price</v>
          </cell>
          <cell r="K117" t="str">
            <v>Quantity</v>
          </cell>
          <cell r="L117" t="str">
            <v>No</v>
          </cell>
        </row>
        <row r="118">
          <cell r="D118" t="str">
            <v>DB0069</v>
          </cell>
          <cell r="E118" t="str">
            <v>AUD</v>
          </cell>
          <cell r="F118" t="str">
            <v>RL</v>
          </cell>
          <cell r="G118">
            <v>44572</v>
          </cell>
          <cell r="H118" t="str">
            <v>06/30/24</v>
          </cell>
          <cell r="J118" t="str">
            <v>List Price</v>
          </cell>
          <cell r="K118" t="str">
            <v>Quantity</v>
          </cell>
          <cell r="L118" t="str">
            <v>No</v>
          </cell>
        </row>
        <row r="119">
          <cell r="D119" t="str">
            <v>DB0158</v>
          </cell>
          <cell r="E119" t="str">
            <v>AUD</v>
          </cell>
          <cell r="F119" t="str">
            <v>RL</v>
          </cell>
          <cell r="G119">
            <v>44572</v>
          </cell>
          <cell r="H119" t="str">
            <v>06/30/24</v>
          </cell>
          <cell r="J119" t="str">
            <v>List Price</v>
          </cell>
          <cell r="K119" t="str">
            <v>Quantity</v>
          </cell>
          <cell r="L119" t="str">
            <v>No</v>
          </cell>
        </row>
        <row r="120">
          <cell r="D120" t="str">
            <v>DB8003</v>
          </cell>
          <cell r="E120" t="str">
            <v>AUD</v>
          </cell>
          <cell r="F120" t="str">
            <v>RL</v>
          </cell>
          <cell r="G120">
            <v>44572</v>
          </cell>
          <cell r="H120" t="str">
            <v>06/30/24</v>
          </cell>
          <cell r="J120" t="str">
            <v>List Price</v>
          </cell>
          <cell r="K120" t="str">
            <v>Quantity</v>
          </cell>
          <cell r="L120" t="str">
            <v>No</v>
          </cell>
        </row>
        <row r="121">
          <cell r="D121" t="str">
            <v>DB8004</v>
          </cell>
          <cell r="E121" t="str">
            <v>AUD</v>
          </cell>
          <cell r="F121" t="str">
            <v>RL</v>
          </cell>
          <cell r="G121">
            <v>44572</v>
          </cell>
          <cell r="H121" t="str">
            <v>06/30/24</v>
          </cell>
          <cell r="J121" t="str">
            <v>List Price</v>
          </cell>
          <cell r="K121" t="str">
            <v>Quantity</v>
          </cell>
          <cell r="L121" t="str">
            <v>No</v>
          </cell>
        </row>
        <row r="122">
          <cell r="D122" t="str">
            <v>DB8099</v>
          </cell>
          <cell r="E122" t="str">
            <v>AUD</v>
          </cell>
          <cell r="F122" t="str">
            <v>RL</v>
          </cell>
          <cell r="G122">
            <v>44572</v>
          </cell>
          <cell r="J122" t="str">
            <v>List Price</v>
          </cell>
          <cell r="K122" t="str">
            <v>Quantity</v>
          </cell>
          <cell r="L122" t="str">
            <v>No</v>
          </cell>
        </row>
        <row r="123">
          <cell r="D123" t="str">
            <v>DB8100</v>
          </cell>
          <cell r="E123" t="str">
            <v>AUD</v>
          </cell>
          <cell r="F123" t="str">
            <v>RL</v>
          </cell>
          <cell r="G123">
            <v>44572</v>
          </cell>
          <cell r="J123" t="str">
            <v>List Price</v>
          </cell>
          <cell r="K123" t="str">
            <v>Quantity</v>
          </cell>
          <cell r="L123" t="str">
            <v>No</v>
          </cell>
        </row>
        <row r="124">
          <cell r="D124" t="str">
            <v>DB8101</v>
          </cell>
          <cell r="E124" t="str">
            <v>AUD</v>
          </cell>
          <cell r="F124" t="str">
            <v>RL</v>
          </cell>
          <cell r="G124">
            <v>44572</v>
          </cell>
          <cell r="J124" t="str">
            <v>List Price</v>
          </cell>
          <cell r="K124" t="str">
            <v>Quantity</v>
          </cell>
          <cell r="L124" t="str">
            <v>No</v>
          </cell>
        </row>
        <row r="125">
          <cell r="D125" t="str">
            <v>DB8102</v>
          </cell>
          <cell r="E125" t="str">
            <v>AUD</v>
          </cell>
          <cell r="F125" t="str">
            <v>RL</v>
          </cell>
          <cell r="G125">
            <v>44572</v>
          </cell>
          <cell r="J125" t="str">
            <v>List Price</v>
          </cell>
          <cell r="K125" t="str">
            <v>Quantity</v>
          </cell>
          <cell r="L125" t="str">
            <v>No</v>
          </cell>
        </row>
        <row r="126">
          <cell r="D126" t="str">
            <v>DB8103</v>
          </cell>
          <cell r="E126" t="str">
            <v>AUD</v>
          </cell>
          <cell r="F126" t="str">
            <v>RL</v>
          </cell>
          <cell r="G126">
            <v>44572</v>
          </cell>
          <cell r="J126" t="str">
            <v>List Price</v>
          </cell>
          <cell r="K126" t="str">
            <v>Quantity</v>
          </cell>
          <cell r="L126" t="str">
            <v>No</v>
          </cell>
        </row>
        <row r="127">
          <cell r="D127" t="str">
            <v>DB8104</v>
          </cell>
          <cell r="E127" t="str">
            <v>AUD</v>
          </cell>
          <cell r="F127" t="str">
            <v>RL</v>
          </cell>
          <cell r="G127">
            <v>44572</v>
          </cell>
          <cell r="J127" t="str">
            <v>List Price</v>
          </cell>
          <cell r="K127" t="str">
            <v>Quantity</v>
          </cell>
          <cell r="L127" t="str">
            <v>No</v>
          </cell>
        </row>
        <row r="128">
          <cell r="D128" t="str">
            <v>DB8105</v>
          </cell>
          <cell r="E128" t="str">
            <v>AUD</v>
          </cell>
          <cell r="F128" t="str">
            <v>RL</v>
          </cell>
          <cell r="G128">
            <v>44572</v>
          </cell>
          <cell r="J128" t="str">
            <v>List Price</v>
          </cell>
          <cell r="K128" t="str">
            <v>Quantity</v>
          </cell>
          <cell r="L128" t="str">
            <v>No</v>
          </cell>
        </row>
        <row r="129">
          <cell r="D129" t="str">
            <v>DB8106</v>
          </cell>
          <cell r="E129" t="str">
            <v>AUD</v>
          </cell>
          <cell r="F129" t="str">
            <v>RL</v>
          </cell>
          <cell r="G129">
            <v>44572</v>
          </cell>
          <cell r="J129" t="str">
            <v>List Price</v>
          </cell>
          <cell r="K129" t="str">
            <v>Quantity</v>
          </cell>
          <cell r="L129" t="str">
            <v>No</v>
          </cell>
        </row>
        <row r="130">
          <cell r="D130" t="str">
            <v>DB8133</v>
          </cell>
          <cell r="E130" t="str">
            <v>AUD</v>
          </cell>
          <cell r="F130" t="str">
            <v>RL</v>
          </cell>
          <cell r="G130">
            <v>44572</v>
          </cell>
          <cell r="J130" t="str">
            <v>List Price</v>
          </cell>
          <cell r="K130" t="str">
            <v>Quantity</v>
          </cell>
          <cell r="L130" t="str">
            <v>No</v>
          </cell>
        </row>
        <row r="131">
          <cell r="D131" t="str">
            <v>DB8134</v>
          </cell>
          <cell r="E131" t="str">
            <v>AUD</v>
          </cell>
          <cell r="F131" t="str">
            <v>RL</v>
          </cell>
          <cell r="G131">
            <v>44572</v>
          </cell>
          <cell r="J131" t="str">
            <v>List Price</v>
          </cell>
          <cell r="K131" t="str">
            <v>Quantity</v>
          </cell>
          <cell r="L131" t="str">
            <v>No</v>
          </cell>
        </row>
        <row r="132">
          <cell r="D132" t="str">
            <v>DB8139</v>
          </cell>
          <cell r="E132" t="str">
            <v>AUD</v>
          </cell>
          <cell r="F132" t="str">
            <v>RL</v>
          </cell>
          <cell r="G132">
            <v>44572</v>
          </cell>
          <cell r="J132" t="str">
            <v>List Price</v>
          </cell>
          <cell r="K132" t="str">
            <v>Quantity</v>
          </cell>
          <cell r="L132" t="str">
            <v>No</v>
          </cell>
        </row>
        <row r="133">
          <cell r="D133" t="str">
            <v>DB8140</v>
          </cell>
          <cell r="E133" t="str">
            <v>AUD</v>
          </cell>
          <cell r="F133" t="str">
            <v>RL</v>
          </cell>
          <cell r="G133">
            <v>44572</v>
          </cell>
          <cell r="J133" t="str">
            <v>List Price</v>
          </cell>
          <cell r="K133" t="str">
            <v>Quantity</v>
          </cell>
          <cell r="L133" t="str">
            <v>No</v>
          </cell>
        </row>
        <row r="134">
          <cell r="D134" t="str">
            <v>DB8248</v>
          </cell>
          <cell r="E134" t="str">
            <v>AUD</v>
          </cell>
          <cell r="F134" t="str">
            <v>RL</v>
          </cell>
          <cell r="G134">
            <v>44572</v>
          </cell>
          <cell r="H134" t="str">
            <v>06/30/24</v>
          </cell>
          <cell r="J134" t="str">
            <v>List Price</v>
          </cell>
          <cell r="K134" t="str">
            <v>Quantity</v>
          </cell>
          <cell r="L134" t="str">
            <v>No</v>
          </cell>
        </row>
        <row r="135">
          <cell r="D135" t="str">
            <v>DB8405</v>
          </cell>
          <cell r="E135" t="str">
            <v>AUD</v>
          </cell>
          <cell r="F135" t="str">
            <v>RL</v>
          </cell>
          <cell r="G135">
            <v>44572</v>
          </cell>
          <cell r="H135" t="str">
            <v>06/30/24</v>
          </cell>
          <cell r="J135" t="str">
            <v>List Price</v>
          </cell>
          <cell r="K135" t="str">
            <v>Quantity</v>
          </cell>
          <cell r="L135" t="str">
            <v>No</v>
          </cell>
        </row>
        <row r="136">
          <cell r="D136" t="str">
            <v>DB8448</v>
          </cell>
          <cell r="E136" t="str">
            <v>AUD</v>
          </cell>
          <cell r="F136" t="str">
            <v>RL</v>
          </cell>
          <cell r="G136">
            <v>44572</v>
          </cell>
          <cell r="H136" t="str">
            <v>06/30/24</v>
          </cell>
          <cell r="J136" t="str">
            <v>List Price</v>
          </cell>
          <cell r="K136" t="str">
            <v>Quantity</v>
          </cell>
          <cell r="L136" t="str">
            <v>No</v>
          </cell>
        </row>
        <row r="137">
          <cell r="D137" t="str">
            <v>DB8450</v>
          </cell>
          <cell r="E137" t="str">
            <v>AUD</v>
          </cell>
          <cell r="F137" t="str">
            <v>RL</v>
          </cell>
          <cell r="G137">
            <v>44572</v>
          </cell>
          <cell r="H137" t="str">
            <v>06/30/24</v>
          </cell>
          <cell r="J137" t="str">
            <v>List Price</v>
          </cell>
          <cell r="K137" t="str">
            <v>Quantity</v>
          </cell>
          <cell r="L137" t="str">
            <v>No</v>
          </cell>
        </row>
        <row r="138">
          <cell r="D138" t="str">
            <v>DB8482</v>
          </cell>
          <cell r="E138" t="str">
            <v>AUD</v>
          </cell>
          <cell r="F138" t="str">
            <v>RL</v>
          </cell>
          <cell r="G138">
            <v>44572</v>
          </cell>
          <cell r="H138" t="str">
            <v>06/30/24</v>
          </cell>
          <cell r="J138" t="str">
            <v>List Price</v>
          </cell>
          <cell r="K138" t="str">
            <v>Quantity</v>
          </cell>
          <cell r="L138" t="str">
            <v>No</v>
          </cell>
        </row>
        <row r="139">
          <cell r="D139" t="str">
            <v>DB8523</v>
          </cell>
          <cell r="E139" t="str">
            <v>AUD</v>
          </cell>
          <cell r="F139" t="str">
            <v>RL</v>
          </cell>
          <cell r="G139">
            <v>44572</v>
          </cell>
          <cell r="H139" t="str">
            <v>06/30/24</v>
          </cell>
          <cell r="J139" t="str">
            <v>List Price</v>
          </cell>
          <cell r="K139" t="str">
            <v>Quantity</v>
          </cell>
          <cell r="L139" t="str">
            <v>No</v>
          </cell>
        </row>
        <row r="140">
          <cell r="D140" t="str">
            <v>DD0158</v>
          </cell>
          <cell r="E140" t="str">
            <v>AUD</v>
          </cell>
          <cell r="F140" t="str">
            <v>RL</v>
          </cell>
          <cell r="G140">
            <v>44572</v>
          </cell>
          <cell r="H140" t="str">
            <v>06/30/24</v>
          </cell>
          <cell r="J140" t="str">
            <v>List Price</v>
          </cell>
          <cell r="K140" t="str">
            <v>Quantity</v>
          </cell>
          <cell r="L140" t="str">
            <v>No</v>
          </cell>
        </row>
        <row r="141">
          <cell r="D141" t="str">
            <v>DD8482</v>
          </cell>
          <cell r="E141" t="str">
            <v>AUD</v>
          </cell>
          <cell r="F141" t="str">
            <v>RL</v>
          </cell>
          <cell r="G141">
            <v>44572</v>
          </cell>
          <cell r="H141" t="str">
            <v>06/30/24</v>
          </cell>
          <cell r="J141" t="str">
            <v>List Price</v>
          </cell>
          <cell r="K141" t="str">
            <v>Quantity</v>
          </cell>
          <cell r="L141" t="str">
            <v>No</v>
          </cell>
        </row>
        <row r="142">
          <cell r="D142" t="str">
            <v>DD8523</v>
          </cell>
          <cell r="E142" t="str">
            <v>AUD</v>
          </cell>
          <cell r="F142" t="str">
            <v>RL</v>
          </cell>
          <cell r="G142">
            <v>44572</v>
          </cell>
          <cell r="J142" t="str">
            <v>List Price</v>
          </cell>
          <cell r="K142" t="str">
            <v>Quantity</v>
          </cell>
          <cell r="L142" t="str">
            <v>No</v>
          </cell>
        </row>
        <row r="143">
          <cell r="D143" t="str">
            <v>DH0158</v>
          </cell>
          <cell r="E143" t="str">
            <v>AUD</v>
          </cell>
          <cell r="F143" t="str">
            <v>RL</v>
          </cell>
          <cell r="G143">
            <v>44572</v>
          </cell>
          <cell r="J143" t="str">
            <v>List Price</v>
          </cell>
          <cell r="K143" t="str">
            <v>Quantity</v>
          </cell>
          <cell r="L143" t="str">
            <v>No</v>
          </cell>
        </row>
        <row r="144">
          <cell r="D144" t="str">
            <v>M22025</v>
          </cell>
          <cell r="E144" t="str">
            <v>AUD</v>
          </cell>
          <cell r="F144" t="str">
            <v>EA</v>
          </cell>
          <cell r="G144">
            <v>44572</v>
          </cell>
          <cell r="J144" t="str">
            <v>List Price</v>
          </cell>
          <cell r="K144" t="str">
            <v>Quantity</v>
          </cell>
          <cell r="L144" t="str">
            <v>No</v>
          </cell>
        </row>
        <row r="145">
          <cell r="D145" t="str">
            <v>M22222</v>
          </cell>
          <cell r="E145" t="str">
            <v>AUD</v>
          </cell>
          <cell r="F145" t="str">
            <v>RL</v>
          </cell>
          <cell r="G145">
            <v>44572</v>
          </cell>
          <cell r="J145" t="str">
            <v>List Price</v>
          </cell>
          <cell r="K145" t="str">
            <v>Quantity</v>
          </cell>
          <cell r="L145" t="str">
            <v>No</v>
          </cell>
        </row>
        <row r="146">
          <cell r="D146" t="str">
            <v>M845703GR</v>
          </cell>
          <cell r="E146" t="str">
            <v>AUD</v>
          </cell>
          <cell r="F146" t="str">
            <v>RL</v>
          </cell>
          <cell r="G146">
            <v>44572</v>
          </cell>
          <cell r="H146" t="str">
            <v>06/30/24</v>
          </cell>
          <cell r="J146" t="str">
            <v>List Price</v>
          </cell>
          <cell r="K146" t="str">
            <v>Quantity</v>
          </cell>
          <cell r="L146" t="str">
            <v>No</v>
          </cell>
        </row>
        <row r="147">
          <cell r="D147" t="str">
            <v>MDB0022</v>
          </cell>
          <cell r="E147" t="str">
            <v>AUD</v>
          </cell>
          <cell r="F147" t="str">
            <v>RL</v>
          </cell>
          <cell r="G147">
            <v>44572</v>
          </cell>
          <cell r="H147" t="str">
            <v>06/30/24</v>
          </cell>
          <cell r="J147" t="str">
            <v>List Price</v>
          </cell>
          <cell r="K147" t="str">
            <v>Quantity</v>
          </cell>
          <cell r="L147" t="str">
            <v>No</v>
          </cell>
        </row>
        <row r="148">
          <cell r="D148" t="str">
            <v>MDB0026</v>
          </cell>
          <cell r="E148" t="str">
            <v>AUD</v>
          </cell>
          <cell r="F148" t="str">
            <v>RL</v>
          </cell>
          <cell r="G148">
            <v>44572</v>
          </cell>
          <cell r="H148" t="str">
            <v>06/30/24</v>
          </cell>
          <cell r="J148" t="str">
            <v>List Price</v>
          </cell>
          <cell r="K148" t="str">
            <v>Quantity</v>
          </cell>
          <cell r="L148" t="str">
            <v>No</v>
          </cell>
        </row>
        <row r="149">
          <cell r="D149" t="str">
            <v>MDB0033</v>
          </cell>
          <cell r="E149" t="str">
            <v>AUD</v>
          </cell>
          <cell r="F149" t="str">
            <v>RL</v>
          </cell>
          <cell r="G149">
            <v>44572</v>
          </cell>
          <cell r="H149" t="str">
            <v>06/30/24</v>
          </cell>
          <cell r="J149" t="str">
            <v>List Price</v>
          </cell>
          <cell r="K149" t="str">
            <v>Quantity</v>
          </cell>
          <cell r="L149" t="str">
            <v>No</v>
          </cell>
        </row>
        <row r="150">
          <cell r="D150" t="str">
            <v>MDB0035</v>
          </cell>
          <cell r="E150" t="str">
            <v>AUD</v>
          </cell>
          <cell r="F150" t="str">
            <v>RL</v>
          </cell>
          <cell r="G150">
            <v>44572</v>
          </cell>
          <cell r="H150" t="str">
            <v>06/30/24</v>
          </cell>
          <cell r="J150" t="str">
            <v>List Price</v>
          </cell>
          <cell r="K150" t="str">
            <v>Quantity</v>
          </cell>
          <cell r="L150" t="str">
            <v>No</v>
          </cell>
        </row>
        <row r="151">
          <cell r="D151" t="str">
            <v>MDB0042</v>
          </cell>
          <cell r="E151" t="str">
            <v>AUD</v>
          </cell>
          <cell r="F151" t="str">
            <v>RL</v>
          </cell>
          <cell r="G151">
            <v>44572</v>
          </cell>
          <cell r="H151" t="str">
            <v>06/30/24</v>
          </cell>
          <cell r="J151" t="str">
            <v>List Price</v>
          </cell>
          <cell r="K151" t="str">
            <v>Quantity</v>
          </cell>
          <cell r="L151" t="str">
            <v>No</v>
          </cell>
        </row>
        <row r="152">
          <cell r="D152" t="str">
            <v>MEA0420</v>
          </cell>
          <cell r="E152" t="str">
            <v>AUD</v>
          </cell>
          <cell r="F152" t="str">
            <v>EA</v>
          </cell>
          <cell r="G152">
            <v>44572</v>
          </cell>
          <cell r="J152" t="str">
            <v>List Price</v>
          </cell>
          <cell r="K152" t="str">
            <v>Quantity</v>
          </cell>
          <cell r="L152" t="str">
            <v>No</v>
          </cell>
        </row>
        <row r="153">
          <cell r="D153" t="str">
            <v>MF10040</v>
          </cell>
          <cell r="E153" t="str">
            <v>AUD</v>
          </cell>
          <cell r="F153" t="str">
            <v>RL</v>
          </cell>
          <cell r="G153">
            <v>44572</v>
          </cell>
          <cell r="H153" t="str">
            <v>06/30/24</v>
          </cell>
          <cell r="J153" t="str">
            <v>List Price</v>
          </cell>
          <cell r="K153" t="str">
            <v>Quantity</v>
          </cell>
          <cell r="L153" t="str">
            <v>No</v>
          </cell>
        </row>
        <row r="154">
          <cell r="D154" t="str">
            <v>MF10051</v>
          </cell>
          <cell r="E154" t="str">
            <v>AUD</v>
          </cell>
          <cell r="F154" t="str">
            <v>RL</v>
          </cell>
          <cell r="G154">
            <v>44572</v>
          </cell>
          <cell r="H154" t="str">
            <v>06/30/24</v>
          </cell>
          <cell r="J154" t="str">
            <v>List Price</v>
          </cell>
          <cell r="K154" t="str">
            <v>Quantity</v>
          </cell>
          <cell r="L154" t="str">
            <v>No</v>
          </cell>
        </row>
        <row r="155">
          <cell r="D155" t="str">
            <v>MF10053</v>
          </cell>
          <cell r="E155" t="str">
            <v>AUD</v>
          </cell>
          <cell r="F155" t="str">
            <v>RL</v>
          </cell>
          <cell r="G155">
            <v>44572</v>
          </cell>
          <cell r="H155" t="str">
            <v>06/30/24</v>
          </cell>
          <cell r="J155" t="str">
            <v>List Price</v>
          </cell>
          <cell r="K155" t="str">
            <v>Quantity</v>
          </cell>
          <cell r="L155" t="str">
            <v>No</v>
          </cell>
        </row>
        <row r="156">
          <cell r="D156" t="str">
            <v>MF10055</v>
          </cell>
          <cell r="E156" t="str">
            <v>AUD</v>
          </cell>
          <cell r="F156" t="str">
            <v>RL</v>
          </cell>
          <cell r="G156">
            <v>44572</v>
          </cell>
          <cell r="H156" t="str">
            <v>06/30/24</v>
          </cell>
          <cell r="J156" t="str">
            <v>List Price</v>
          </cell>
          <cell r="K156" t="str">
            <v>Quantity</v>
          </cell>
          <cell r="L156" t="str">
            <v>No</v>
          </cell>
        </row>
        <row r="157">
          <cell r="D157" t="str">
            <v>MF10057</v>
          </cell>
          <cell r="E157" t="str">
            <v>AUD</v>
          </cell>
          <cell r="F157" t="str">
            <v>RL</v>
          </cell>
          <cell r="G157">
            <v>44572</v>
          </cell>
          <cell r="J157" t="str">
            <v>List Price</v>
          </cell>
          <cell r="K157" t="str">
            <v>Quantity</v>
          </cell>
          <cell r="L157" t="str">
            <v>No</v>
          </cell>
        </row>
        <row r="158">
          <cell r="D158" t="str">
            <v>MF20012</v>
          </cell>
          <cell r="E158" t="str">
            <v>AUD</v>
          </cell>
          <cell r="F158" t="str">
            <v>RL</v>
          </cell>
          <cell r="G158">
            <v>44572</v>
          </cell>
          <cell r="H158" t="str">
            <v>06/30/24</v>
          </cell>
          <cell r="J158" t="str">
            <v>List Price</v>
          </cell>
          <cell r="K158" t="str">
            <v>Quantity</v>
          </cell>
          <cell r="L158" t="str">
            <v>No</v>
          </cell>
        </row>
        <row r="159">
          <cell r="D159" t="str">
            <v>MF20024</v>
          </cell>
          <cell r="E159" t="str">
            <v>AUD</v>
          </cell>
          <cell r="F159" t="str">
            <v>RL</v>
          </cell>
          <cell r="G159">
            <v>44572</v>
          </cell>
          <cell r="H159" t="str">
            <v>06/30/24</v>
          </cell>
          <cell r="J159" t="str">
            <v>List Price</v>
          </cell>
          <cell r="K159" t="str">
            <v>Quantity</v>
          </cell>
          <cell r="L159" t="str">
            <v>No</v>
          </cell>
        </row>
        <row r="160">
          <cell r="D160" t="str">
            <v>MF20027</v>
          </cell>
          <cell r="E160" t="str">
            <v>AUD</v>
          </cell>
          <cell r="F160" t="str">
            <v>RL</v>
          </cell>
          <cell r="G160">
            <v>44572</v>
          </cell>
          <cell r="H160" t="str">
            <v>06/30/24</v>
          </cell>
          <cell r="J160" t="str">
            <v>List Price</v>
          </cell>
          <cell r="K160" t="str">
            <v>Quantity</v>
          </cell>
          <cell r="L160" t="str">
            <v>No</v>
          </cell>
        </row>
        <row r="161">
          <cell r="D161" t="str">
            <v>MF20052</v>
          </cell>
          <cell r="E161" t="str">
            <v>AUD</v>
          </cell>
          <cell r="F161" t="str">
            <v>RL</v>
          </cell>
          <cell r="G161">
            <v>44572</v>
          </cell>
          <cell r="H161" t="str">
            <v>06/30/24</v>
          </cell>
          <cell r="J161" t="str">
            <v>List Price</v>
          </cell>
          <cell r="K161" t="str">
            <v>Quantity</v>
          </cell>
          <cell r="L161" t="str">
            <v>No</v>
          </cell>
        </row>
        <row r="162">
          <cell r="D162" t="str">
            <v>MF20053</v>
          </cell>
          <cell r="E162" t="str">
            <v>AUD</v>
          </cell>
          <cell r="F162" t="str">
            <v>RL</v>
          </cell>
          <cell r="G162">
            <v>44572</v>
          </cell>
          <cell r="H162" t="str">
            <v>06/30/24</v>
          </cell>
          <cell r="J162" t="str">
            <v>List Price</v>
          </cell>
          <cell r="K162" t="str">
            <v>Quantity</v>
          </cell>
          <cell r="L162" t="str">
            <v>No</v>
          </cell>
        </row>
        <row r="163">
          <cell r="D163" t="str">
            <v>MF20055</v>
          </cell>
          <cell r="E163" t="str">
            <v>AUD</v>
          </cell>
          <cell r="F163" t="str">
            <v>RL</v>
          </cell>
          <cell r="G163">
            <v>44572</v>
          </cell>
          <cell r="J163" t="str">
            <v>List Price</v>
          </cell>
          <cell r="K163" t="str">
            <v>Quantity</v>
          </cell>
          <cell r="L163" t="str">
            <v>No</v>
          </cell>
        </row>
        <row r="164">
          <cell r="D164" t="str">
            <v>MF30010</v>
          </cell>
          <cell r="E164" t="str">
            <v>AUD</v>
          </cell>
          <cell r="F164" t="str">
            <v>RL</v>
          </cell>
          <cell r="G164">
            <v>44572</v>
          </cell>
          <cell r="H164" t="str">
            <v>06/30/24</v>
          </cell>
          <cell r="J164" t="str">
            <v>List Price</v>
          </cell>
          <cell r="K164" t="str">
            <v>Quantity</v>
          </cell>
          <cell r="L164" t="str">
            <v>No</v>
          </cell>
        </row>
        <row r="165">
          <cell r="D165" t="str">
            <v>MF30020</v>
          </cell>
          <cell r="E165" t="str">
            <v>AUD</v>
          </cell>
          <cell r="F165" t="str">
            <v>RL</v>
          </cell>
          <cell r="G165">
            <v>44572</v>
          </cell>
          <cell r="H165" t="str">
            <v>06/30/24</v>
          </cell>
          <cell r="J165" t="str">
            <v>List Price</v>
          </cell>
          <cell r="K165" t="str">
            <v>Quantity</v>
          </cell>
          <cell r="L165" t="str">
            <v>No</v>
          </cell>
        </row>
        <row r="166">
          <cell r="D166" t="str">
            <v>MF30021</v>
          </cell>
          <cell r="E166" t="str">
            <v>AUD</v>
          </cell>
          <cell r="F166" t="str">
            <v>RL</v>
          </cell>
          <cell r="G166">
            <v>44572</v>
          </cell>
          <cell r="H166" t="str">
            <v>06/30/24</v>
          </cell>
          <cell r="J166" t="str">
            <v>List Price</v>
          </cell>
          <cell r="K166" t="str">
            <v>Quantity</v>
          </cell>
          <cell r="L166" t="str">
            <v>No</v>
          </cell>
        </row>
        <row r="167">
          <cell r="D167" t="str">
            <v>MF50095</v>
          </cell>
          <cell r="E167" t="str">
            <v>AUD</v>
          </cell>
          <cell r="F167" t="str">
            <v>RL</v>
          </cell>
          <cell r="G167">
            <v>44572</v>
          </cell>
          <cell r="H167" t="str">
            <v>06/30/24</v>
          </cell>
          <cell r="J167" t="str">
            <v>List Price</v>
          </cell>
          <cell r="K167" t="str">
            <v>Quantity</v>
          </cell>
          <cell r="L167" t="str">
            <v>No</v>
          </cell>
        </row>
        <row r="168">
          <cell r="D168" t="str">
            <v>MF50096</v>
          </cell>
          <cell r="E168" t="str">
            <v>AUD</v>
          </cell>
          <cell r="F168" t="str">
            <v>RL</v>
          </cell>
          <cell r="G168">
            <v>44572</v>
          </cell>
          <cell r="H168" t="str">
            <v>06/30/24</v>
          </cell>
          <cell r="J168" t="str">
            <v>List Price</v>
          </cell>
          <cell r="K168" t="str">
            <v>Quantity</v>
          </cell>
          <cell r="L168" t="str">
            <v>No</v>
          </cell>
        </row>
        <row r="169">
          <cell r="D169" t="str">
            <v>MF50098</v>
          </cell>
          <cell r="E169" t="str">
            <v>AUD</v>
          </cell>
          <cell r="F169" t="str">
            <v>RL</v>
          </cell>
          <cell r="G169">
            <v>44572</v>
          </cell>
          <cell r="H169" t="str">
            <v>06/30/24</v>
          </cell>
          <cell r="J169" t="str">
            <v>List Price</v>
          </cell>
          <cell r="K169" t="str">
            <v>Quantity</v>
          </cell>
          <cell r="L169" t="str">
            <v>No</v>
          </cell>
        </row>
        <row r="170">
          <cell r="D170" t="str">
            <v>MFA3315</v>
          </cell>
          <cell r="E170" t="str">
            <v>AUD</v>
          </cell>
          <cell r="F170" t="str">
            <v>RL</v>
          </cell>
          <cell r="G170">
            <v>44572</v>
          </cell>
          <cell r="J170" t="str">
            <v>List Price</v>
          </cell>
          <cell r="K170" t="str">
            <v>Quantity</v>
          </cell>
          <cell r="L170" t="str">
            <v>No</v>
          </cell>
        </row>
        <row r="171">
          <cell r="D171" t="str">
            <v>MFA3323</v>
          </cell>
          <cell r="E171" t="str">
            <v>AUD</v>
          </cell>
          <cell r="F171" t="str">
            <v>RL</v>
          </cell>
          <cell r="G171">
            <v>44572</v>
          </cell>
          <cell r="H171" t="str">
            <v>06/30/24</v>
          </cell>
          <cell r="J171" t="str">
            <v>List Price</v>
          </cell>
          <cell r="K171" t="str">
            <v>Quantity</v>
          </cell>
          <cell r="L171" t="str">
            <v>No</v>
          </cell>
        </row>
        <row r="172">
          <cell r="D172" t="str">
            <v>MMC05R1</v>
          </cell>
          <cell r="E172" t="str">
            <v>AUD</v>
          </cell>
          <cell r="F172" t="str">
            <v>EA</v>
          </cell>
          <cell r="G172">
            <v>44572</v>
          </cell>
          <cell r="H172" t="str">
            <v>06/30/24</v>
          </cell>
          <cell r="J172" t="str">
            <v>List Price</v>
          </cell>
          <cell r="K172" t="str">
            <v>Quantity</v>
          </cell>
          <cell r="L172" t="str">
            <v>No</v>
          </cell>
        </row>
        <row r="173">
          <cell r="D173" t="str">
            <v>MS1572</v>
          </cell>
          <cell r="E173" t="str">
            <v>AUD</v>
          </cell>
          <cell r="F173" t="str">
            <v>RL</v>
          </cell>
          <cell r="G173">
            <v>44572</v>
          </cell>
          <cell r="J173" t="str">
            <v>List Price</v>
          </cell>
          <cell r="K173" t="str">
            <v>Quantity</v>
          </cell>
          <cell r="L173" t="str">
            <v>No</v>
          </cell>
        </row>
        <row r="174">
          <cell r="D174" t="str">
            <v>MS1573</v>
          </cell>
          <cell r="E174" t="str">
            <v>AUD</v>
          </cell>
          <cell r="F174" t="str">
            <v>RL</v>
          </cell>
          <cell r="G174">
            <v>44572</v>
          </cell>
          <cell r="J174" t="str">
            <v>List Price</v>
          </cell>
          <cell r="K174" t="str">
            <v>Quantity</v>
          </cell>
          <cell r="L174" t="str">
            <v>No</v>
          </cell>
        </row>
        <row r="175">
          <cell r="D175" t="str">
            <v>MUC8754</v>
          </cell>
          <cell r="E175" t="str">
            <v>AUD</v>
          </cell>
          <cell r="F175" t="str">
            <v>RL</v>
          </cell>
          <cell r="G175">
            <v>44572</v>
          </cell>
          <cell r="J175" t="str">
            <v>List Price</v>
          </cell>
          <cell r="K175" t="str">
            <v>Quantity</v>
          </cell>
          <cell r="L175" t="str">
            <v>No</v>
          </cell>
        </row>
        <row r="176">
          <cell r="D176" t="str">
            <v>MUD0461</v>
          </cell>
          <cell r="E176" t="str">
            <v>AUD</v>
          </cell>
          <cell r="F176" t="str">
            <v>RL</v>
          </cell>
          <cell r="G176">
            <v>44572</v>
          </cell>
          <cell r="H176" t="str">
            <v>06/30/24</v>
          </cell>
          <cell r="J176" t="str">
            <v>List Price</v>
          </cell>
          <cell r="K176" t="str">
            <v>Quantity</v>
          </cell>
          <cell r="L176" t="str">
            <v>No</v>
          </cell>
        </row>
        <row r="177">
          <cell r="D177" t="str">
            <v>MUD1121</v>
          </cell>
          <cell r="E177" t="str">
            <v>AUD</v>
          </cell>
          <cell r="F177" t="str">
            <v>RL</v>
          </cell>
          <cell r="G177">
            <v>44572</v>
          </cell>
          <cell r="J177" t="str">
            <v>List Price</v>
          </cell>
          <cell r="K177" t="str">
            <v>Quantity</v>
          </cell>
          <cell r="L177" t="str">
            <v>No</v>
          </cell>
        </row>
        <row r="178">
          <cell r="D178" t="str">
            <v>MUD3796</v>
          </cell>
          <cell r="E178" t="str">
            <v>AUD</v>
          </cell>
          <cell r="F178" t="str">
            <v>RL</v>
          </cell>
          <cell r="G178">
            <v>44572</v>
          </cell>
          <cell r="H178" t="str">
            <v>06/30/24</v>
          </cell>
          <cell r="J178" t="str">
            <v>List Price</v>
          </cell>
          <cell r="K178" t="str">
            <v>Quantity</v>
          </cell>
          <cell r="L178" t="str">
            <v>No</v>
          </cell>
        </row>
        <row r="179">
          <cell r="D179" t="str">
            <v>MV6700B0250GR</v>
          </cell>
          <cell r="E179" t="str">
            <v>AUD</v>
          </cell>
          <cell r="F179" t="str">
            <v>RL</v>
          </cell>
          <cell r="G179">
            <v>44572</v>
          </cell>
          <cell r="H179" t="str">
            <v>06/30/24</v>
          </cell>
          <cell r="J179" t="str">
            <v>List Price</v>
          </cell>
          <cell r="K179" t="str">
            <v>Quantity</v>
          </cell>
          <cell r="L179" t="str">
            <v>No</v>
          </cell>
        </row>
        <row r="180">
          <cell r="D180" t="str">
            <v>MV6701B0250GR</v>
          </cell>
          <cell r="E180" t="str">
            <v>AUD</v>
          </cell>
          <cell r="F180" t="str">
            <v>RL</v>
          </cell>
          <cell r="G180">
            <v>44572</v>
          </cell>
          <cell r="H180" t="str">
            <v>06/30/24</v>
          </cell>
          <cell r="J180" t="str">
            <v>List Price</v>
          </cell>
          <cell r="K180" t="str">
            <v>Quantity</v>
          </cell>
          <cell r="L180" t="str">
            <v>No</v>
          </cell>
        </row>
        <row r="181">
          <cell r="D181" t="str">
            <v>MV6722B0250GR</v>
          </cell>
          <cell r="E181" t="str">
            <v>AUD</v>
          </cell>
          <cell r="F181" t="str">
            <v>RL</v>
          </cell>
          <cell r="G181">
            <v>44572</v>
          </cell>
          <cell r="H181" t="str">
            <v>06/30/24</v>
          </cell>
          <cell r="J181" t="str">
            <v>List Price</v>
          </cell>
          <cell r="K181" t="str">
            <v>Quantity</v>
          </cell>
          <cell r="L181" t="str">
            <v>No</v>
          </cell>
        </row>
        <row r="182">
          <cell r="D182" t="str">
            <v>MV6750B0250GR</v>
          </cell>
          <cell r="E182" t="str">
            <v>AUD</v>
          </cell>
          <cell r="F182" t="str">
            <v>RL</v>
          </cell>
          <cell r="G182">
            <v>44572</v>
          </cell>
          <cell r="J182" t="str">
            <v>List Price</v>
          </cell>
          <cell r="K182" t="str">
            <v>Quantity</v>
          </cell>
          <cell r="L182" t="str">
            <v>No</v>
          </cell>
        </row>
        <row r="183">
          <cell r="D183" t="str">
            <v>MV6751B0250GR</v>
          </cell>
          <cell r="E183" t="str">
            <v>AUD</v>
          </cell>
          <cell r="F183" t="str">
            <v>RL</v>
          </cell>
          <cell r="G183">
            <v>44572</v>
          </cell>
          <cell r="J183" t="str">
            <v>List Price</v>
          </cell>
          <cell r="K183" t="str">
            <v>Quantity</v>
          </cell>
          <cell r="L183" t="str">
            <v>No</v>
          </cell>
        </row>
        <row r="184">
          <cell r="D184" t="str">
            <v>MV6772B0250GR</v>
          </cell>
          <cell r="E184" t="str">
            <v>AUD</v>
          </cell>
          <cell r="F184" t="str">
            <v>RL</v>
          </cell>
          <cell r="G184">
            <v>44572</v>
          </cell>
          <cell r="H184" t="str">
            <v>06/30/24</v>
          </cell>
          <cell r="J184" t="str">
            <v>List Price</v>
          </cell>
          <cell r="K184" t="str">
            <v>Quantity</v>
          </cell>
          <cell r="L184" t="str">
            <v>No</v>
          </cell>
        </row>
        <row r="185">
          <cell r="D185" t="str">
            <v>MV80004825GR</v>
          </cell>
          <cell r="E185" t="str">
            <v>AUD</v>
          </cell>
          <cell r="F185" t="str">
            <v>RL</v>
          </cell>
          <cell r="G185">
            <v>44572</v>
          </cell>
          <cell r="J185" t="str">
            <v>List Price</v>
          </cell>
          <cell r="K185" t="str">
            <v>Quantity</v>
          </cell>
          <cell r="L185" t="str">
            <v>No</v>
          </cell>
        </row>
        <row r="186">
          <cell r="D186" t="str">
            <v>MV80054827GR</v>
          </cell>
          <cell r="E186" t="str">
            <v>AUD</v>
          </cell>
          <cell r="F186" t="str">
            <v>RL</v>
          </cell>
          <cell r="G186">
            <v>44572</v>
          </cell>
          <cell r="J186" t="str">
            <v>List Price</v>
          </cell>
          <cell r="K186" t="str">
            <v>Quantity</v>
          </cell>
          <cell r="L186" t="str">
            <v>No</v>
          </cell>
        </row>
        <row r="187">
          <cell r="D187" t="str">
            <v>MV80074828GR</v>
          </cell>
          <cell r="E187" t="str">
            <v>AUD</v>
          </cell>
          <cell r="F187" t="str">
            <v>RL</v>
          </cell>
          <cell r="G187">
            <v>44572</v>
          </cell>
          <cell r="J187" t="str">
            <v>List Price</v>
          </cell>
          <cell r="K187" t="str">
            <v>Quantity</v>
          </cell>
          <cell r="L187" t="str">
            <v>No</v>
          </cell>
        </row>
        <row r="188">
          <cell r="D188" t="str">
            <v>MV80084829GR</v>
          </cell>
          <cell r="E188" t="str">
            <v>AUD</v>
          </cell>
          <cell r="F188" t="str">
            <v>RL</v>
          </cell>
          <cell r="G188">
            <v>44572</v>
          </cell>
          <cell r="J188" t="str">
            <v>List Price</v>
          </cell>
          <cell r="K188" t="str">
            <v>Quantity</v>
          </cell>
          <cell r="L188" t="str">
            <v>No</v>
          </cell>
        </row>
        <row r="189">
          <cell r="D189" t="str">
            <v>MV80134830GR</v>
          </cell>
          <cell r="E189" t="str">
            <v>AUD</v>
          </cell>
          <cell r="F189" t="str">
            <v>RL</v>
          </cell>
          <cell r="G189">
            <v>44572</v>
          </cell>
          <cell r="J189" t="str">
            <v>List Price</v>
          </cell>
          <cell r="K189" t="str">
            <v>Quantity</v>
          </cell>
          <cell r="L189" t="str">
            <v>No</v>
          </cell>
        </row>
        <row r="190">
          <cell r="D190" t="str">
            <v>MV80144831GR</v>
          </cell>
          <cell r="E190" t="str">
            <v>AUD</v>
          </cell>
          <cell r="F190" t="str">
            <v>RL</v>
          </cell>
          <cell r="G190">
            <v>44572</v>
          </cell>
          <cell r="J190" t="str">
            <v>List Price</v>
          </cell>
          <cell r="K190" t="str">
            <v>Quantity</v>
          </cell>
          <cell r="L190" t="str">
            <v>No</v>
          </cell>
        </row>
        <row r="191">
          <cell r="D191" t="str">
            <v>MXD5984</v>
          </cell>
          <cell r="E191" t="str">
            <v>AUD</v>
          </cell>
          <cell r="F191" t="str">
            <v>EA</v>
          </cell>
          <cell r="G191">
            <v>44572</v>
          </cell>
          <cell r="H191" t="str">
            <v>06/30/24</v>
          </cell>
          <cell r="J191" t="str">
            <v>List Price</v>
          </cell>
          <cell r="K191" t="str">
            <v>Quantity</v>
          </cell>
          <cell r="L191" t="str">
            <v>No</v>
          </cell>
        </row>
        <row r="192">
          <cell r="D192" t="str">
            <v>MXD6008</v>
          </cell>
          <cell r="E192" t="str">
            <v>AUD</v>
          </cell>
          <cell r="F192" t="str">
            <v>BX</v>
          </cell>
          <cell r="G192">
            <v>44572</v>
          </cell>
          <cell r="J192" t="str">
            <v>List Price</v>
          </cell>
          <cell r="K192" t="str">
            <v>Quantity</v>
          </cell>
          <cell r="L192" t="str">
            <v>No</v>
          </cell>
        </row>
        <row r="193">
          <cell r="D193" t="str">
            <v>MXD9374</v>
          </cell>
          <cell r="E193" t="str">
            <v>AUD</v>
          </cell>
          <cell r="F193" t="str">
            <v>RL</v>
          </cell>
          <cell r="G193">
            <v>44572</v>
          </cell>
          <cell r="H193" t="str">
            <v>06/30/24</v>
          </cell>
          <cell r="J193" t="str">
            <v>List Price</v>
          </cell>
          <cell r="K193" t="str">
            <v>Quantity</v>
          </cell>
          <cell r="L193" t="str">
            <v>No</v>
          </cell>
        </row>
        <row r="194">
          <cell r="D194" t="str">
            <v>MYB0548</v>
          </cell>
          <cell r="E194" t="str">
            <v>AUD</v>
          </cell>
          <cell r="F194" t="str">
            <v>RL</v>
          </cell>
          <cell r="G194">
            <v>44572</v>
          </cell>
          <cell r="H194" t="str">
            <v>06/30/24</v>
          </cell>
          <cell r="J194" t="str">
            <v>List Price</v>
          </cell>
          <cell r="K194" t="str">
            <v>Quantity</v>
          </cell>
          <cell r="L194" t="str">
            <v>No</v>
          </cell>
        </row>
        <row r="195">
          <cell r="D195" t="str">
            <v>MYB2882</v>
          </cell>
          <cell r="E195" t="str">
            <v>AUD</v>
          </cell>
          <cell r="F195" t="str">
            <v>RL</v>
          </cell>
          <cell r="G195">
            <v>44572</v>
          </cell>
          <cell r="J195" t="str">
            <v>List Price</v>
          </cell>
          <cell r="K195" t="str">
            <v>Quantity</v>
          </cell>
          <cell r="L195" t="str">
            <v>No</v>
          </cell>
        </row>
        <row r="196">
          <cell r="D196" t="str">
            <v>MYB2890</v>
          </cell>
          <cell r="E196" t="str">
            <v>AUD</v>
          </cell>
          <cell r="F196" t="str">
            <v>RL</v>
          </cell>
          <cell r="G196">
            <v>44572</v>
          </cell>
          <cell r="H196" t="str">
            <v>06/30/24</v>
          </cell>
          <cell r="J196" t="str">
            <v>List Price</v>
          </cell>
          <cell r="K196" t="str">
            <v>Quantity</v>
          </cell>
          <cell r="L196" t="str">
            <v>No</v>
          </cell>
        </row>
        <row r="197">
          <cell r="D197" t="str">
            <v>MYB2908</v>
          </cell>
          <cell r="E197" t="str">
            <v>AUD</v>
          </cell>
          <cell r="F197" t="str">
            <v>RL</v>
          </cell>
          <cell r="G197">
            <v>44572</v>
          </cell>
          <cell r="J197" t="str">
            <v>List Price</v>
          </cell>
          <cell r="K197" t="str">
            <v>Quantity</v>
          </cell>
          <cell r="L197" t="str">
            <v>No</v>
          </cell>
        </row>
        <row r="198">
          <cell r="D198" t="str">
            <v>MYB5497</v>
          </cell>
          <cell r="E198" t="str">
            <v>AUD</v>
          </cell>
          <cell r="F198" t="str">
            <v>RL</v>
          </cell>
          <cell r="G198">
            <v>44572</v>
          </cell>
          <cell r="H198" t="str">
            <v>06/30/24</v>
          </cell>
          <cell r="J198" t="str">
            <v>List Price</v>
          </cell>
          <cell r="K198" t="str">
            <v>Quantity</v>
          </cell>
          <cell r="L198" t="str">
            <v>No</v>
          </cell>
        </row>
        <row r="199">
          <cell r="D199" t="str">
            <v>MZA1040</v>
          </cell>
          <cell r="E199" t="str">
            <v>AUD</v>
          </cell>
          <cell r="F199" t="str">
            <v>BX</v>
          </cell>
          <cell r="G199">
            <v>44572</v>
          </cell>
          <cell r="J199" t="str">
            <v>List Price</v>
          </cell>
          <cell r="K199" t="str">
            <v>Quantity</v>
          </cell>
          <cell r="L199" t="str">
            <v>No</v>
          </cell>
        </row>
        <row r="200">
          <cell r="D200" t="str">
            <v>MZA1164</v>
          </cell>
          <cell r="E200" t="str">
            <v>AUD</v>
          </cell>
          <cell r="F200" t="str">
            <v>EA</v>
          </cell>
          <cell r="G200">
            <v>44572</v>
          </cell>
          <cell r="H200" t="str">
            <v>06/30/24</v>
          </cell>
          <cell r="J200" t="str">
            <v>List Price</v>
          </cell>
          <cell r="K200" t="str">
            <v>Quantity</v>
          </cell>
          <cell r="L200" t="str">
            <v>No</v>
          </cell>
        </row>
        <row r="201">
          <cell r="D201" t="str">
            <v>MZA1170</v>
          </cell>
          <cell r="E201" t="str">
            <v>AUD</v>
          </cell>
          <cell r="F201" t="str">
            <v>EA</v>
          </cell>
          <cell r="G201">
            <v>44572</v>
          </cell>
          <cell r="H201" t="str">
            <v>06/30/24</v>
          </cell>
          <cell r="J201" t="str">
            <v>List Price</v>
          </cell>
          <cell r="K201" t="str">
            <v>Quantity</v>
          </cell>
          <cell r="L201" t="str">
            <v>No</v>
          </cell>
        </row>
        <row r="202">
          <cell r="D202" t="str">
            <v>PFA0840</v>
          </cell>
          <cell r="E202" t="str">
            <v>AUD</v>
          </cell>
          <cell r="F202" t="str">
            <v>RL</v>
          </cell>
          <cell r="G202">
            <v>44572</v>
          </cell>
          <cell r="H202" t="str">
            <v>06/30/24</v>
          </cell>
          <cell r="J202" t="str">
            <v>List Price</v>
          </cell>
          <cell r="K202" t="str">
            <v>Quantity</v>
          </cell>
          <cell r="L202" t="str">
            <v>No</v>
          </cell>
        </row>
        <row r="203">
          <cell r="D203" t="str">
            <v>SX9158</v>
          </cell>
          <cell r="E203" t="str">
            <v>AUD</v>
          </cell>
          <cell r="F203" t="str">
            <v>RL</v>
          </cell>
          <cell r="G203">
            <v>44572</v>
          </cell>
          <cell r="J203" t="str">
            <v>List Price</v>
          </cell>
          <cell r="K203" t="str">
            <v>Quantity</v>
          </cell>
          <cell r="L203" t="str">
            <v>No</v>
          </cell>
        </row>
        <row r="204">
          <cell r="D204" t="str">
            <v>SY0040</v>
          </cell>
          <cell r="E204" t="str">
            <v>AUD</v>
          </cell>
          <cell r="F204" t="str">
            <v>RL</v>
          </cell>
          <cell r="G204">
            <v>44572</v>
          </cell>
          <cell r="J204" t="str">
            <v>List Price</v>
          </cell>
          <cell r="K204" t="str">
            <v>Quantity</v>
          </cell>
          <cell r="L204" t="str">
            <v>No</v>
          </cell>
        </row>
        <row r="205">
          <cell r="D205" t="str">
            <v>TC8038</v>
          </cell>
          <cell r="E205" t="str">
            <v>AUD</v>
          </cell>
          <cell r="F205" t="str">
            <v>RL</v>
          </cell>
          <cell r="G205">
            <v>44572</v>
          </cell>
          <cell r="J205" t="str">
            <v>List Price</v>
          </cell>
          <cell r="K205" t="str">
            <v>Quantity</v>
          </cell>
          <cell r="L205" t="str">
            <v>No</v>
          </cell>
        </row>
        <row r="206">
          <cell r="D206" t="str">
            <v>TC8046</v>
          </cell>
          <cell r="E206" t="str">
            <v>AUD</v>
          </cell>
          <cell r="F206" t="str">
            <v>RL</v>
          </cell>
          <cell r="G206">
            <v>44572</v>
          </cell>
          <cell r="J206" t="str">
            <v>List Price</v>
          </cell>
          <cell r="K206" t="str">
            <v>Quantity</v>
          </cell>
          <cell r="L206" t="str">
            <v>No</v>
          </cell>
        </row>
        <row r="207">
          <cell r="D207" t="str">
            <v>UD3903</v>
          </cell>
          <cell r="E207" t="str">
            <v>AUD</v>
          </cell>
          <cell r="F207" t="str">
            <v>RL</v>
          </cell>
          <cell r="G207">
            <v>44572</v>
          </cell>
          <cell r="H207" t="str">
            <v>06/30/24</v>
          </cell>
          <cell r="J207" t="str">
            <v>List Price</v>
          </cell>
          <cell r="K207" t="str">
            <v>Quantity</v>
          </cell>
          <cell r="L207" t="str">
            <v>No</v>
          </cell>
        </row>
        <row r="208">
          <cell r="D208" t="str">
            <v>V4000EZA1</v>
          </cell>
          <cell r="E208" t="str">
            <v>AUD</v>
          </cell>
          <cell r="F208" t="str">
            <v>RL</v>
          </cell>
          <cell r="G208">
            <v>44572</v>
          </cell>
          <cell r="H208" t="str">
            <v>06/30/24</v>
          </cell>
          <cell r="J208" t="str">
            <v>List Price</v>
          </cell>
          <cell r="K208" t="str">
            <v>Quantity</v>
          </cell>
          <cell r="L208" t="str">
            <v>No</v>
          </cell>
        </row>
        <row r="209">
          <cell r="D209" t="str">
            <v>V4000EZDB</v>
          </cell>
          <cell r="E209" t="str">
            <v>AUD</v>
          </cell>
          <cell r="F209" t="str">
            <v>RL</v>
          </cell>
          <cell r="G209">
            <v>44572</v>
          </cell>
          <cell r="H209" t="str">
            <v>06/30/24</v>
          </cell>
          <cell r="J209" t="str">
            <v>List Price</v>
          </cell>
          <cell r="K209" t="str">
            <v>Quantity</v>
          </cell>
          <cell r="L209" t="str">
            <v>No</v>
          </cell>
        </row>
        <row r="210">
          <cell r="D210" t="str">
            <v>V4000PAA1</v>
          </cell>
          <cell r="E210" t="str">
            <v>AUD</v>
          </cell>
          <cell r="F210" t="str">
            <v>RL</v>
          </cell>
          <cell r="G210">
            <v>44572</v>
          </cell>
          <cell r="H210" t="str">
            <v>06/30/24</v>
          </cell>
          <cell r="J210" t="str">
            <v>List Price</v>
          </cell>
          <cell r="K210" t="str">
            <v>Quantity</v>
          </cell>
          <cell r="L210" t="str">
            <v>No</v>
          </cell>
        </row>
        <row r="211">
          <cell r="D211" t="str">
            <v>V4000PADB</v>
          </cell>
          <cell r="E211" t="str">
            <v>AUD</v>
          </cell>
          <cell r="F211" t="str">
            <v>RL</v>
          </cell>
          <cell r="G211">
            <v>44572</v>
          </cell>
          <cell r="H211" t="str">
            <v>06/30/24</v>
          </cell>
          <cell r="J211" t="str">
            <v>List Price</v>
          </cell>
          <cell r="K211" t="str">
            <v>Quantity</v>
          </cell>
          <cell r="L211" t="str">
            <v>No</v>
          </cell>
        </row>
        <row r="212">
          <cell r="D212" t="str">
            <v>V4001EZA1</v>
          </cell>
          <cell r="E212" t="str">
            <v>AUD</v>
          </cell>
          <cell r="F212" t="str">
            <v>RL</v>
          </cell>
          <cell r="G212">
            <v>44572</v>
          </cell>
          <cell r="H212" t="str">
            <v>06/30/24</v>
          </cell>
          <cell r="J212" t="str">
            <v>List Price</v>
          </cell>
          <cell r="K212" t="str">
            <v>Quantity</v>
          </cell>
          <cell r="L212" t="str">
            <v>No</v>
          </cell>
        </row>
        <row r="213">
          <cell r="D213" t="str">
            <v>V4001PAA1</v>
          </cell>
          <cell r="E213" t="str">
            <v>AUD</v>
          </cell>
          <cell r="F213" t="str">
            <v>RL</v>
          </cell>
          <cell r="G213">
            <v>44572</v>
          </cell>
          <cell r="H213" t="str">
            <v>06/30/24</v>
          </cell>
          <cell r="J213" t="str">
            <v>List Price</v>
          </cell>
          <cell r="K213" t="str">
            <v>Quantity</v>
          </cell>
          <cell r="L213" t="str">
            <v>No</v>
          </cell>
        </row>
        <row r="214">
          <cell r="D214" t="str">
            <v>V4003EZA1</v>
          </cell>
          <cell r="E214" t="str">
            <v>AUD</v>
          </cell>
          <cell r="F214" t="str">
            <v>RL</v>
          </cell>
          <cell r="G214">
            <v>44572</v>
          </cell>
          <cell r="H214" t="str">
            <v>06/30/24</v>
          </cell>
          <cell r="J214" t="str">
            <v>List Price</v>
          </cell>
          <cell r="K214" t="str">
            <v>Quantity</v>
          </cell>
          <cell r="L214" t="str">
            <v>No</v>
          </cell>
        </row>
        <row r="215">
          <cell r="D215" t="str">
            <v>V4003PAA1</v>
          </cell>
          <cell r="E215" t="str">
            <v>AUD</v>
          </cell>
          <cell r="F215" t="str">
            <v>RL</v>
          </cell>
          <cell r="G215">
            <v>44572</v>
          </cell>
          <cell r="H215" t="str">
            <v>06/30/24</v>
          </cell>
          <cell r="J215" t="str">
            <v>List Price</v>
          </cell>
          <cell r="K215" t="str">
            <v>Quantity</v>
          </cell>
          <cell r="L215" t="str">
            <v>No</v>
          </cell>
        </row>
        <row r="216">
          <cell r="D216" t="str">
            <v>V4004EZA1</v>
          </cell>
          <cell r="E216" t="str">
            <v>AUD</v>
          </cell>
          <cell r="F216" t="str">
            <v>RL</v>
          </cell>
          <cell r="G216">
            <v>44572</v>
          </cell>
          <cell r="H216" t="str">
            <v>06/30/24</v>
          </cell>
          <cell r="J216" t="str">
            <v>List Price</v>
          </cell>
          <cell r="K216" t="str">
            <v>Quantity</v>
          </cell>
          <cell r="L216" t="str">
            <v>No</v>
          </cell>
        </row>
        <row r="217">
          <cell r="D217" t="str">
            <v>V4004PAA1</v>
          </cell>
          <cell r="E217" t="str">
            <v>AUD</v>
          </cell>
          <cell r="F217" t="str">
            <v>RL</v>
          </cell>
          <cell r="G217">
            <v>44572</v>
          </cell>
          <cell r="H217" t="str">
            <v>06/30/24</v>
          </cell>
          <cell r="J217" t="str">
            <v>List Price</v>
          </cell>
          <cell r="K217" t="str">
            <v>Quantity</v>
          </cell>
          <cell r="L217" t="str">
            <v>No</v>
          </cell>
        </row>
        <row r="218">
          <cell r="D218" t="str">
            <v>V4005EZA1</v>
          </cell>
          <cell r="E218" t="str">
            <v>AUD</v>
          </cell>
          <cell r="F218" t="str">
            <v>RL</v>
          </cell>
          <cell r="G218">
            <v>44572</v>
          </cell>
          <cell r="H218" t="str">
            <v>06/30/24</v>
          </cell>
          <cell r="J218" t="str">
            <v>List Price</v>
          </cell>
          <cell r="K218" t="str">
            <v>Quantity</v>
          </cell>
          <cell r="L218" t="str">
            <v>No</v>
          </cell>
        </row>
        <row r="219">
          <cell r="D219" t="str">
            <v>V4005PAA1</v>
          </cell>
          <cell r="E219" t="str">
            <v>AUD</v>
          </cell>
          <cell r="F219" t="str">
            <v>RL</v>
          </cell>
          <cell r="G219">
            <v>44572</v>
          </cell>
          <cell r="H219" t="str">
            <v>06/30/24</v>
          </cell>
          <cell r="J219" t="str">
            <v>List Price</v>
          </cell>
          <cell r="K219" t="str">
            <v>Quantity</v>
          </cell>
          <cell r="L219" t="str">
            <v>No</v>
          </cell>
        </row>
        <row r="220">
          <cell r="D220" t="str">
            <v>V4008EZA1</v>
          </cell>
          <cell r="E220" t="str">
            <v>AUD</v>
          </cell>
          <cell r="F220" t="str">
            <v>RL</v>
          </cell>
          <cell r="G220">
            <v>44572</v>
          </cell>
          <cell r="H220" t="str">
            <v>06/30/24</v>
          </cell>
          <cell r="J220" t="str">
            <v>List Price</v>
          </cell>
          <cell r="K220" t="str">
            <v>Quantity</v>
          </cell>
          <cell r="L220" t="str">
            <v>No</v>
          </cell>
        </row>
        <row r="221">
          <cell r="D221" t="str">
            <v>V4008PAA1</v>
          </cell>
          <cell r="E221" t="str">
            <v>AUD</v>
          </cell>
          <cell r="F221" t="str">
            <v>RL</v>
          </cell>
          <cell r="G221">
            <v>44572</v>
          </cell>
          <cell r="H221" t="str">
            <v>06/30/24</v>
          </cell>
          <cell r="J221" t="str">
            <v>List Price</v>
          </cell>
          <cell r="K221" t="str">
            <v>Quantity</v>
          </cell>
          <cell r="L221" t="str">
            <v>No</v>
          </cell>
        </row>
        <row r="222">
          <cell r="D222" t="str">
            <v>XD9267</v>
          </cell>
          <cell r="E222" t="str">
            <v>AUD</v>
          </cell>
          <cell r="F222" t="str">
            <v>EA</v>
          </cell>
          <cell r="G222">
            <v>44572</v>
          </cell>
          <cell r="H222" t="str">
            <v>06/30/24</v>
          </cell>
          <cell r="J222" t="str">
            <v>List Price</v>
          </cell>
          <cell r="K222" t="str">
            <v>Quantity</v>
          </cell>
          <cell r="L222" t="str">
            <v>No</v>
          </cell>
        </row>
        <row r="223">
          <cell r="D223" t="str">
            <v>XD9275</v>
          </cell>
          <cell r="E223" t="str">
            <v>AUD</v>
          </cell>
          <cell r="F223" t="str">
            <v>EA</v>
          </cell>
          <cell r="G223">
            <v>44572</v>
          </cell>
          <cell r="H223" t="str">
            <v>06/30/24</v>
          </cell>
          <cell r="J223" t="str">
            <v>List Price</v>
          </cell>
          <cell r="K223" t="str">
            <v>Quantity</v>
          </cell>
          <cell r="L223" t="str">
            <v>No</v>
          </cell>
        </row>
        <row r="224">
          <cell r="D224" t="str">
            <v>XE1040</v>
          </cell>
          <cell r="E224" t="str">
            <v>AUD</v>
          </cell>
          <cell r="F224" t="str">
            <v>PK</v>
          </cell>
          <cell r="G224">
            <v>44572</v>
          </cell>
          <cell r="J224" t="str">
            <v>List Price</v>
          </cell>
          <cell r="K224" t="str">
            <v>Quantity</v>
          </cell>
          <cell r="L224" t="str">
            <v>No</v>
          </cell>
        </row>
        <row r="225">
          <cell r="D225" t="str">
            <v>XE4846</v>
          </cell>
          <cell r="E225" t="str">
            <v>AUD</v>
          </cell>
          <cell r="F225" t="str">
            <v>EA</v>
          </cell>
          <cell r="G225">
            <v>44572</v>
          </cell>
          <cell r="J225" t="str">
            <v>List Price</v>
          </cell>
          <cell r="K225" t="str">
            <v>Quantity</v>
          </cell>
          <cell r="L225" t="str">
            <v>No</v>
          </cell>
        </row>
        <row r="226">
          <cell r="D226" t="str">
            <v>XE6536</v>
          </cell>
          <cell r="E226" t="str">
            <v>AUD</v>
          </cell>
          <cell r="F226" t="str">
            <v>BX</v>
          </cell>
          <cell r="G226">
            <v>44572</v>
          </cell>
          <cell r="H226" t="str">
            <v>06/30/24</v>
          </cell>
          <cell r="J226" t="str">
            <v>List Price</v>
          </cell>
          <cell r="K226" t="str">
            <v>Quantity</v>
          </cell>
          <cell r="L226" t="str">
            <v>No</v>
          </cell>
        </row>
        <row r="227">
          <cell r="D227" t="str">
            <v>CA3480002</v>
          </cell>
          <cell r="E227" t="str">
            <v>AUD</v>
          </cell>
          <cell r="F227" t="str">
            <v>BX</v>
          </cell>
          <cell r="G227">
            <v>44753</v>
          </cell>
          <cell r="H227" t="str">
            <v>06/30/24</v>
          </cell>
          <cell r="J227" t="str">
            <v>List Price</v>
          </cell>
          <cell r="K227" t="str">
            <v>Quantity</v>
          </cell>
          <cell r="L227" t="str">
            <v>No</v>
          </cell>
        </row>
        <row r="228">
          <cell r="D228" t="str">
            <v>R07325SR-1220-150</v>
          </cell>
          <cell r="E228" t="str">
            <v>AUD</v>
          </cell>
          <cell r="F228" t="str">
            <v>RL</v>
          </cell>
          <cell r="G228">
            <v>44784</v>
          </cell>
          <cell r="J228" t="str">
            <v>List Price</v>
          </cell>
          <cell r="K228" t="str">
            <v>Quantity</v>
          </cell>
          <cell r="L228" t="str">
            <v>No</v>
          </cell>
        </row>
        <row r="229">
          <cell r="D229" t="str">
            <v>R07325SR-1575-150</v>
          </cell>
          <cell r="E229" t="str">
            <v>AUD</v>
          </cell>
          <cell r="F229" t="str">
            <v>RL</v>
          </cell>
          <cell r="G229">
            <v>44784</v>
          </cell>
          <cell r="J229" t="str">
            <v>List Price</v>
          </cell>
          <cell r="K229" t="str">
            <v>Quantity</v>
          </cell>
          <cell r="L229" t="str">
            <v>No</v>
          </cell>
        </row>
        <row r="230">
          <cell r="D230" t="str">
            <v>BP8610002</v>
          </cell>
          <cell r="E230" t="str">
            <v>AUD</v>
          </cell>
          <cell r="F230" t="str">
            <v>RL</v>
          </cell>
          <cell r="G230">
            <v>44784</v>
          </cell>
          <cell r="J230" t="str">
            <v>List Price</v>
          </cell>
          <cell r="K230" t="str">
            <v>Quantity</v>
          </cell>
          <cell r="L230" t="str">
            <v>No</v>
          </cell>
        </row>
        <row r="231">
          <cell r="D231" t="str">
            <v>BS4340004</v>
          </cell>
          <cell r="E231" t="str">
            <v>AUD</v>
          </cell>
          <cell r="F231" t="str">
            <v>RL</v>
          </cell>
          <cell r="G231">
            <v>44784</v>
          </cell>
          <cell r="H231" t="str">
            <v>06/30/24</v>
          </cell>
          <cell r="J231" t="str">
            <v>List Price</v>
          </cell>
          <cell r="K231" t="str">
            <v>Quantity</v>
          </cell>
          <cell r="L231" t="str">
            <v>No</v>
          </cell>
        </row>
        <row r="232">
          <cell r="D232" t="str">
            <v>BS4340005</v>
          </cell>
          <cell r="E232" t="str">
            <v>AUD</v>
          </cell>
          <cell r="F232" t="str">
            <v>RL</v>
          </cell>
          <cell r="G232">
            <v>44784</v>
          </cell>
          <cell r="H232" t="str">
            <v>06/30/24</v>
          </cell>
          <cell r="J232" t="str">
            <v>List Price</v>
          </cell>
          <cell r="K232" t="str">
            <v>Quantity</v>
          </cell>
          <cell r="L232" t="str">
            <v>No</v>
          </cell>
        </row>
        <row r="233">
          <cell r="D233" t="str">
            <v>CE3370264</v>
          </cell>
          <cell r="E233" t="str">
            <v>AUD</v>
          </cell>
          <cell r="F233" t="str">
            <v>RL</v>
          </cell>
          <cell r="G233">
            <v>44784</v>
          </cell>
          <cell r="H233" t="str">
            <v>06/30/24</v>
          </cell>
          <cell r="J233" t="str">
            <v>List Price</v>
          </cell>
          <cell r="K233" t="str">
            <v>Quantity</v>
          </cell>
          <cell r="L233" t="str">
            <v>No</v>
          </cell>
        </row>
        <row r="234">
          <cell r="D234" t="str">
            <v>CH9840001</v>
          </cell>
          <cell r="E234" t="str">
            <v>AUD</v>
          </cell>
          <cell r="F234" t="str">
            <v>BX</v>
          </cell>
          <cell r="G234" t="str">
            <v>11/23/22</v>
          </cell>
          <cell r="J234" t="str">
            <v>List Price</v>
          </cell>
          <cell r="K234" t="str">
            <v>Quantity</v>
          </cell>
          <cell r="L234" t="str">
            <v>No</v>
          </cell>
        </row>
        <row r="235">
          <cell r="D235" t="str">
            <v>CB4023</v>
          </cell>
          <cell r="E235" t="str">
            <v>AUD</v>
          </cell>
          <cell r="F235" t="str">
            <v>RL</v>
          </cell>
          <cell r="G235" t="str">
            <v>01/23/23</v>
          </cell>
          <cell r="H235" t="str">
            <v>06/30/24</v>
          </cell>
          <cell r="J235" t="str">
            <v>List Price</v>
          </cell>
          <cell r="K235" t="str">
            <v>Quantity</v>
          </cell>
          <cell r="L235" t="str">
            <v>No</v>
          </cell>
        </row>
        <row r="236">
          <cell r="D236" t="str">
            <v>CB4024</v>
          </cell>
          <cell r="E236" t="str">
            <v>AUD</v>
          </cell>
          <cell r="F236" t="str">
            <v>RL</v>
          </cell>
          <cell r="G236" t="str">
            <v>01/23/23</v>
          </cell>
          <cell r="H236" t="str">
            <v>06/30/24</v>
          </cell>
          <cell r="J236" t="str">
            <v>List Price</v>
          </cell>
          <cell r="K236" t="str">
            <v>Quantity</v>
          </cell>
          <cell r="L236" t="str">
            <v>No</v>
          </cell>
        </row>
        <row r="237">
          <cell r="D237" t="str">
            <v>EA2480002</v>
          </cell>
          <cell r="E237" t="str">
            <v>AUD</v>
          </cell>
          <cell r="F237" t="str">
            <v>RL</v>
          </cell>
          <cell r="G237">
            <v>45144</v>
          </cell>
          <cell r="J237" t="str">
            <v>List Price</v>
          </cell>
          <cell r="K237" t="str">
            <v>Quantity</v>
          </cell>
          <cell r="L237" t="str">
            <v>No</v>
          </cell>
        </row>
        <row r="238">
          <cell r="D238" t="str">
            <v>EB3070001</v>
          </cell>
          <cell r="E238" t="str">
            <v>AUD</v>
          </cell>
          <cell r="F238" t="str">
            <v>RL</v>
          </cell>
          <cell r="G238">
            <v>45144</v>
          </cell>
          <cell r="J238" t="str">
            <v>List Price</v>
          </cell>
          <cell r="K238" t="str">
            <v>Quantity</v>
          </cell>
          <cell r="L238" t="str">
            <v>No</v>
          </cell>
        </row>
        <row r="239">
          <cell r="D239" t="str">
            <v>XE1032</v>
          </cell>
          <cell r="E239" t="str">
            <v>AUD</v>
          </cell>
          <cell r="F239" t="str">
            <v>BX</v>
          </cell>
          <cell r="G239" t="str">
            <v>06/26/23</v>
          </cell>
          <cell r="J239" t="str">
            <v>List Price</v>
          </cell>
          <cell r="K239" t="str">
            <v>Quantity</v>
          </cell>
          <cell r="L239" t="str">
            <v>No</v>
          </cell>
        </row>
        <row r="240">
          <cell r="D240" t="str">
            <v>BY3760007</v>
          </cell>
          <cell r="E240" t="str">
            <v>AUD</v>
          </cell>
          <cell r="F240" t="str">
            <v>RL</v>
          </cell>
          <cell r="G240">
            <v>45084</v>
          </cell>
          <cell r="H240" t="str">
            <v>06/30/24</v>
          </cell>
          <cell r="J240" t="str">
            <v>List Price</v>
          </cell>
          <cell r="K240" t="str">
            <v>Quantity</v>
          </cell>
          <cell r="L240" t="str">
            <v>No</v>
          </cell>
        </row>
        <row r="241">
          <cell r="D241" t="str">
            <v>BY3760008</v>
          </cell>
          <cell r="E241" t="str">
            <v>AUD</v>
          </cell>
          <cell r="F241" t="str">
            <v>RL</v>
          </cell>
          <cell r="G241">
            <v>45084</v>
          </cell>
          <cell r="H241" t="str">
            <v>06/30/24</v>
          </cell>
          <cell r="J241" t="str">
            <v>List Price</v>
          </cell>
          <cell r="K241" t="str">
            <v>Quantity</v>
          </cell>
          <cell r="L241" t="str">
            <v>No</v>
          </cell>
        </row>
        <row r="242">
          <cell r="D242" t="str">
            <v>CPRP - COL</v>
          </cell>
          <cell r="E242" t="str">
            <v>AUD</v>
          </cell>
          <cell r="F242" t="str">
            <v>EA</v>
          </cell>
          <cell r="G242">
            <v>45114</v>
          </cell>
          <cell r="J242" t="str">
            <v>List Price</v>
          </cell>
          <cell r="K242" t="str">
            <v>Quantity</v>
          </cell>
          <cell r="L242" t="str">
            <v>No</v>
          </cell>
        </row>
        <row r="243">
          <cell r="D243" t="str">
            <v>CPRP - DEL</v>
          </cell>
          <cell r="E243" t="str">
            <v>AUD</v>
          </cell>
          <cell r="F243" t="str">
            <v>EA</v>
          </cell>
          <cell r="G243">
            <v>45114</v>
          </cell>
          <cell r="J243" t="str">
            <v>List Price</v>
          </cell>
          <cell r="K243" t="str">
            <v>Quantity</v>
          </cell>
          <cell r="L243" t="str">
            <v>No</v>
          </cell>
        </row>
        <row r="244">
          <cell r="D244" t="str">
            <v>CPRP - COL</v>
          </cell>
          <cell r="E244" t="str">
            <v>AUD</v>
          </cell>
          <cell r="F244" t="str">
            <v>EA</v>
          </cell>
          <cell r="G244">
            <v>45114</v>
          </cell>
          <cell r="J244" t="str">
            <v>List Price</v>
          </cell>
          <cell r="K244" t="str">
            <v>Quantity</v>
          </cell>
          <cell r="L244" t="str">
            <v>No</v>
          </cell>
        </row>
        <row r="245">
          <cell r="D245" t="str">
            <v>CPRP - DEL</v>
          </cell>
          <cell r="E245" t="str">
            <v>AUD</v>
          </cell>
          <cell r="F245" t="str">
            <v>EA</v>
          </cell>
          <cell r="G245">
            <v>45114</v>
          </cell>
          <cell r="J245" t="str">
            <v>List Price</v>
          </cell>
          <cell r="K245" t="str">
            <v>Quantity</v>
          </cell>
          <cell r="L245" t="str">
            <v>No</v>
          </cell>
        </row>
        <row r="246">
          <cell r="D246" t="str">
            <v>CA3750001B</v>
          </cell>
          <cell r="E246" t="str">
            <v>AUD</v>
          </cell>
          <cell r="F246" t="str">
            <v>BX</v>
          </cell>
          <cell r="G246" t="str">
            <v>07/20/23</v>
          </cell>
          <cell r="H246" t="str">
            <v>06/30/24</v>
          </cell>
          <cell r="J246" t="str">
            <v>List Price</v>
          </cell>
          <cell r="K246" t="str">
            <v>Quantity</v>
          </cell>
          <cell r="L246" t="str">
            <v>No</v>
          </cell>
        </row>
        <row r="247">
          <cell r="D247" t="str">
            <v>AP8270001</v>
          </cell>
          <cell r="E247" t="str">
            <v>AUD</v>
          </cell>
          <cell r="F247" t="str">
            <v>BX</v>
          </cell>
          <cell r="G247" t="str">
            <v>07/26/23</v>
          </cell>
          <cell r="H247" t="str">
            <v>06/30/24</v>
          </cell>
          <cell r="J247" t="str">
            <v>List Price</v>
          </cell>
          <cell r="K247" t="str">
            <v>Quantity</v>
          </cell>
          <cell r="L247" t="str">
            <v>No</v>
          </cell>
        </row>
        <row r="248">
          <cell r="D248" t="str">
            <v>BO7840001</v>
          </cell>
          <cell r="E248" t="str">
            <v>AUD</v>
          </cell>
          <cell r="F248" t="str">
            <v>BX</v>
          </cell>
          <cell r="G248" t="str">
            <v>07/26/23</v>
          </cell>
          <cell r="J248" t="str">
            <v>List Price</v>
          </cell>
          <cell r="K248" t="str">
            <v>Quantity</v>
          </cell>
          <cell r="L248" t="str">
            <v>No</v>
          </cell>
        </row>
        <row r="249">
          <cell r="D249" t="str">
            <v>BO7850001</v>
          </cell>
          <cell r="E249" t="str">
            <v>AUD</v>
          </cell>
          <cell r="F249" t="str">
            <v>BX</v>
          </cell>
          <cell r="G249" t="str">
            <v>07/26/23</v>
          </cell>
          <cell r="J249" t="str">
            <v>List Price</v>
          </cell>
          <cell r="K249" t="str">
            <v>Quantity</v>
          </cell>
          <cell r="L249" t="str">
            <v>No</v>
          </cell>
        </row>
        <row r="250">
          <cell r="D250" t="str">
            <v>XD9259</v>
          </cell>
          <cell r="E250" t="str">
            <v>AUD</v>
          </cell>
          <cell r="F250" t="str">
            <v>BX</v>
          </cell>
          <cell r="G250" t="str">
            <v>07/26/23</v>
          </cell>
          <cell r="J250" t="str">
            <v>List Price</v>
          </cell>
          <cell r="K250" t="str">
            <v>Quantity</v>
          </cell>
          <cell r="L250" t="str">
            <v>No</v>
          </cell>
        </row>
        <row r="251">
          <cell r="D251" t="str">
            <v>HPA1905KR</v>
          </cell>
          <cell r="E251" t="str">
            <v>AUD</v>
          </cell>
          <cell r="F251" t="str">
            <v>RL</v>
          </cell>
          <cell r="G251" t="str">
            <v>07/28/23</v>
          </cell>
          <cell r="J251" t="str">
            <v>List Price</v>
          </cell>
          <cell r="K251" t="str">
            <v>Quantity</v>
          </cell>
          <cell r="L251" t="str">
            <v>No</v>
          </cell>
        </row>
        <row r="252">
          <cell r="D252" t="str">
            <v>BP2530001B</v>
          </cell>
          <cell r="E252" t="str">
            <v>AUD</v>
          </cell>
          <cell r="F252" t="str">
            <v>BX</v>
          </cell>
          <cell r="G252">
            <v>45207</v>
          </cell>
          <cell r="J252" t="str">
            <v>List Price</v>
          </cell>
          <cell r="K252" t="str">
            <v>Quantity</v>
          </cell>
          <cell r="L252" t="str">
            <v>No</v>
          </cell>
        </row>
        <row r="253">
          <cell r="D253" t="str">
            <v>AP8270002</v>
          </cell>
          <cell r="E253" t="str">
            <v>AUD</v>
          </cell>
          <cell r="F253" t="str">
            <v>BX</v>
          </cell>
          <cell r="G253" t="str">
            <v>08/30/23</v>
          </cell>
          <cell r="H253" t="str">
            <v>06/30/24</v>
          </cell>
          <cell r="J253" t="str">
            <v>List Price</v>
          </cell>
          <cell r="K253" t="str">
            <v>Quantity</v>
          </cell>
          <cell r="L253" t="str">
            <v>No</v>
          </cell>
        </row>
        <row r="254">
          <cell r="D254" t="str">
            <v>CA6420001</v>
          </cell>
          <cell r="E254" t="str">
            <v>AUD</v>
          </cell>
          <cell r="F254" t="str">
            <v>BX</v>
          </cell>
          <cell r="G254" t="str">
            <v>08/30/23</v>
          </cell>
          <cell r="H254" t="str">
            <v>06/30/24</v>
          </cell>
          <cell r="J254" t="str">
            <v>List Price</v>
          </cell>
          <cell r="K254" t="str">
            <v>Quantity</v>
          </cell>
          <cell r="L254" t="str">
            <v>No</v>
          </cell>
        </row>
        <row r="255">
          <cell r="D255" t="str">
            <v>CA8120002</v>
          </cell>
          <cell r="E255" t="str">
            <v>AUD</v>
          </cell>
          <cell r="F255" t="str">
            <v>BX</v>
          </cell>
          <cell r="G255" t="str">
            <v>08/30/23</v>
          </cell>
          <cell r="H255" t="str">
            <v>06/30/24</v>
          </cell>
          <cell r="J255" t="str">
            <v>List Price</v>
          </cell>
          <cell r="K255" t="str">
            <v>Quantity</v>
          </cell>
          <cell r="L255" t="str">
            <v>No</v>
          </cell>
        </row>
        <row r="256">
          <cell r="D256" t="str">
            <v>CA8140001</v>
          </cell>
          <cell r="E256" t="str">
            <v>AUD</v>
          </cell>
          <cell r="F256" t="str">
            <v>BX</v>
          </cell>
          <cell r="G256" t="str">
            <v>08/30/23</v>
          </cell>
          <cell r="H256" t="str">
            <v>06/30/24</v>
          </cell>
          <cell r="J256" t="str">
            <v>List Price</v>
          </cell>
          <cell r="K256" t="str">
            <v>Quantity</v>
          </cell>
          <cell r="L256" t="str">
            <v>No</v>
          </cell>
        </row>
        <row r="257">
          <cell r="D257" t="str">
            <v>CA9080002</v>
          </cell>
          <cell r="E257" t="str">
            <v>AUD</v>
          </cell>
          <cell r="F257" t="str">
            <v>BX</v>
          </cell>
          <cell r="G257" t="str">
            <v>08/30/23</v>
          </cell>
          <cell r="H257" t="str">
            <v>06/30/24</v>
          </cell>
          <cell r="J257" t="str">
            <v>List Price</v>
          </cell>
          <cell r="K257" t="str">
            <v>Quantity</v>
          </cell>
          <cell r="L257" t="str">
            <v>No</v>
          </cell>
        </row>
        <row r="258">
          <cell r="D258" t="str">
            <v>CA9090001</v>
          </cell>
          <cell r="E258" t="str">
            <v>AUD</v>
          </cell>
          <cell r="F258" t="str">
            <v>BX</v>
          </cell>
          <cell r="G258" t="str">
            <v>08/30/23</v>
          </cell>
          <cell r="H258" t="str">
            <v>06/30/24</v>
          </cell>
          <cell r="J258" t="str">
            <v>List Price</v>
          </cell>
          <cell r="K258" t="str">
            <v>Quantity</v>
          </cell>
          <cell r="L258" t="str">
            <v>No</v>
          </cell>
        </row>
        <row r="259">
          <cell r="D259" t="str">
            <v>TM-316-100B</v>
          </cell>
          <cell r="E259" t="str">
            <v>AUD</v>
          </cell>
          <cell r="F259" t="str">
            <v>BX</v>
          </cell>
          <cell r="G259" t="str">
            <v>09/20/23</v>
          </cell>
          <cell r="H259" t="str">
            <v>06/30/24</v>
          </cell>
          <cell r="J259" t="str">
            <v>List Price</v>
          </cell>
          <cell r="K259" t="str">
            <v>Quantity</v>
          </cell>
          <cell r="L259" t="str">
            <v>No</v>
          </cell>
        </row>
        <row r="260">
          <cell r="D260" t="str">
            <v>TM-316-100R</v>
          </cell>
          <cell r="E260" t="str">
            <v>AUD</v>
          </cell>
          <cell r="F260" t="str">
            <v>BX</v>
          </cell>
          <cell r="G260" t="str">
            <v>09/20/23</v>
          </cell>
          <cell r="H260" t="str">
            <v>06/30/24</v>
          </cell>
          <cell r="J260" t="str">
            <v>List Price</v>
          </cell>
          <cell r="K260" t="str">
            <v>Quantity</v>
          </cell>
          <cell r="L260" t="str">
            <v>No</v>
          </cell>
        </row>
        <row r="261">
          <cell r="D261" t="str">
            <v>TM-316-65B</v>
          </cell>
          <cell r="E261" t="str">
            <v>AUD</v>
          </cell>
          <cell r="F261" t="str">
            <v>BX</v>
          </cell>
          <cell r="G261" t="str">
            <v>09/20/23</v>
          </cell>
          <cell r="H261" t="str">
            <v>06/30/24</v>
          </cell>
          <cell r="J261" t="str">
            <v>List Price</v>
          </cell>
          <cell r="K261" t="str">
            <v>Quantity</v>
          </cell>
          <cell r="L261" t="str">
            <v>No</v>
          </cell>
        </row>
        <row r="262">
          <cell r="D262" t="str">
            <v>TM-316-65R</v>
          </cell>
          <cell r="E262" t="str">
            <v>AUD</v>
          </cell>
          <cell r="F262" t="str">
            <v>BX</v>
          </cell>
          <cell r="G262" t="str">
            <v>09/20/23</v>
          </cell>
          <cell r="H262" t="str">
            <v>06/30/24</v>
          </cell>
          <cell r="J262" t="str">
            <v>List Price</v>
          </cell>
          <cell r="K262" t="str">
            <v>Quantity</v>
          </cell>
          <cell r="L262" t="str">
            <v>No</v>
          </cell>
        </row>
        <row r="263">
          <cell r="D263" t="str">
            <v>CB4020</v>
          </cell>
          <cell r="E263" t="str">
            <v>AUD</v>
          </cell>
          <cell r="F263" t="str">
            <v>RL</v>
          </cell>
          <cell r="G263">
            <v>45087</v>
          </cell>
          <cell r="H263" t="str">
            <v>06/30/24</v>
          </cell>
          <cell r="J263" t="str">
            <v>List Price</v>
          </cell>
          <cell r="K263" t="str">
            <v>Quantity</v>
          </cell>
          <cell r="L263" t="str">
            <v>No</v>
          </cell>
        </row>
        <row r="264">
          <cell r="D264" t="str">
            <v>CB4021</v>
          </cell>
          <cell r="E264" t="str">
            <v>AUD</v>
          </cell>
          <cell r="F264" t="str">
            <v>RL</v>
          </cell>
          <cell r="G264">
            <v>45087</v>
          </cell>
          <cell r="H264" t="str">
            <v>06/30/24</v>
          </cell>
          <cell r="J264" t="str">
            <v>List Price</v>
          </cell>
          <cell r="K264" t="str">
            <v>Quantity</v>
          </cell>
          <cell r="L264" t="str">
            <v>No</v>
          </cell>
        </row>
        <row r="265">
          <cell r="D265" t="str">
            <v>CB4025</v>
          </cell>
          <cell r="E265" t="str">
            <v>AUD</v>
          </cell>
          <cell r="F265" t="str">
            <v>RL</v>
          </cell>
          <cell r="G265">
            <v>45087</v>
          </cell>
          <cell r="H265" t="str">
            <v>06/30/24</v>
          </cell>
          <cell r="J265" t="str">
            <v>List Price</v>
          </cell>
          <cell r="K265" t="str">
            <v>Quantity</v>
          </cell>
          <cell r="L265" t="str">
            <v>No</v>
          </cell>
        </row>
        <row r="266">
          <cell r="D266" t="str">
            <v>CB4026</v>
          </cell>
          <cell r="E266" t="str">
            <v>AUD</v>
          </cell>
          <cell r="F266" t="str">
            <v>RL</v>
          </cell>
          <cell r="G266">
            <v>45087</v>
          </cell>
          <cell r="H266" t="str">
            <v>06/30/24</v>
          </cell>
          <cell r="J266" t="str">
            <v>List Price</v>
          </cell>
          <cell r="K266" t="str">
            <v>Quantity</v>
          </cell>
          <cell r="L266" t="str">
            <v>No</v>
          </cell>
        </row>
        <row r="267">
          <cell r="D267" t="str">
            <v>P0503P1230000100</v>
          </cell>
          <cell r="E267" t="str">
            <v>AUD</v>
          </cell>
          <cell r="F267" t="str">
            <v>M2</v>
          </cell>
          <cell r="G267" t="str">
            <v>10/24/23</v>
          </cell>
          <cell r="J267" t="str">
            <v>List Price</v>
          </cell>
          <cell r="K267" t="str">
            <v>Quantity</v>
          </cell>
          <cell r="L267" t="str">
            <v>No</v>
          </cell>
        </row>
        <row r="268">
          <cell r="D268" t="str">
            <v>AZ832.250</v>
          </cell>
          <cell r="E268" t="str">
            <v>AUD</v>
          </cell>
          <cell r="F268" t="str">
            <v>RL</v>
          </cell>
          <cell r="G268">
            <v>44937</v>
          </cell>
          <cell r="H268" t="str">
            <v>06/30/24</v>
          </cell>
          <cell r="J268" t="str">
            <v>List Price</v>
          </cell>
          <cell r="K268" t="str">
            <v>Quantity</v>
          </cell>
          <cell r="L268" t="str">
            <v>No</v>
          </cell>
        </row>
        <row r="269">
          <cell r="D269" t="str">
            <v>AZ832.760</v>
          </cell>
          <cell r="E269" t="str">
            <v>AUD</v>
          </cell>
          <cell r="F269" t="str">
            <v>EA</v>
          </cell>
          <cell r="G269">
            <v>44937</v>
          </cell>
          <cell r="H269" t="str">
            <v>06/30/24</v>
          </cell>
          <cell r="J269" t="str">
            <v>List Price</v>
          </cell>
          <cell r="K269" t="str">
            <v>Quantity</v>
          </cell>
          <cell r="L269" t="str">
            <v>No</v>
          </cell>
        </row>
        <row r="270">
          <cell r="D270" t="str">
            <v>AZ931.760</v>
          </cell>
          <cell r="E270" t="str">
            <v>AUD</v>
          </cell>
          <cell r="F270" t="str">
            <v>EA</v>
          </cell>
          <cell r="G270">
            <v>44937</v>
          </cell>
          <cell r="H270" t="str">
            <v>06/30/24</v>
          </cell>
          <cell r="J270" t="str">
            <v>List Price</v>
          </cell>
          <cell r="K270" t="str">
            <v>Quantity</v>
          </cell>
          <cell r="L270" t="str">
            <v>No</v>
          </cell>
        </row>
        <row r="271">
          <cell r="D271" t="str">
            <v>BC4630003</v>
          </cell>
          <cell r="E271" t="str">
            <v>AUD</v>
          </cell>
          <cell r="F271" t="str">
            <v>RL</v>
          </cell>
          <cell r="G271">
            <v>44937</v>
          </cell>
          <cell r="H271" t="str">
            <v>06/30/24</v>
          </cell>
          <cell r="J271" t="str">
            <v>List Price</v>
          </cell>
          <cell r="K271" t="str">
            <v>Quantity</v>
          </cell>
          <cell r="L271" t="str">
            <v>No</v>
          </cell>
        </row>
        <row r="272">
          <cell r="D272" t="str">
            <v>BC4640004</v>
          </cell>
          <cell r="E272" t="str">
            <v>AUD</v>
          </cell>
          <cell r="F272" t="str">
            <v>RL</v>
          </cell>
          <cell r="G272">
            <v>44937</v>
          </cell>
          <cell r="H272" t="str">
            <v>06/30/24</v>
          </cell>
          <cell r="J272" t="str">
            <v>List Price</v>
          </cell>
          <cell r="K272" t="str">
            <v>Quantity</v>
          </cell>
          <cell r="L272" t="str">
            <v>No</v>
          </cell>
        </row>
        <row r="273">
          <cell r="D273" t="str">
            <v>CB7920002</v>
          </cell>
          <cell r="E273" t="str">
            <v>AUD</v>
          </cell>
          <cell r="F273" t="str">
            <v>RL</v>
          </cell>
          <cell r="G273">
            <v>44937</v>
          </cell>
          <cell r="H273" t="str">
            <v>06/30/24</v>
          </cell>
          <cell r="J273" t="str">
            <v>List Price</v>
          </cell>
          <cell r="K273" t="str">
            <v>Quantity</v>
          </cell>
          <cell r="L273" t="str">
            <v>No</v>
          </cell>
        </row>
        <row r="274">
          <cell r="D274" t="str">
            <v>CE581.760</v>
          </cell>
          <cell r="E274" t="str">
            <v>AUD</v>
          </cell>
          <cell r="F274" t="str">
            <v>EA</v>
          </cell>
          <cell r="G274">
            <v>44937</v>
          </cell>
          <cell r="H274" t="str">
            <v>06/30/24</v>
          </cell>
          <cell r="J274" t="str">
            <v>List Price</v>
          </cell>
          <cell r="K274" t="str">
            <v>Quantity</v>
          </cell>
          <cell r="L274" t="str">
            <v>No</v>
          </cell>
        </row>
        <row r="275">
          <cell r="D275" t="str">
            <v>CE5810001</v>
          </cell>
          <cell r="E275" t="str">
            <v>AUD</v>
          </cell>
          <cell r="F275" t="str">
            <v>RL</v>
          </cell>
          <cell r="G275">
            <v>44937</v>
          </cell>
          <cell r="H275" t="str">
            <v>06/30/24</v>
          </cell>
          <cell r="J275" t="str">
            <v>List Price</v>
          </cell>
          <cell r="K275" t="str">
            <v>Quantity</v>
          </cell>
          <cell r="L275" t="str">
            <v>No</v>
          </cell>
        </row>
        <row r="276">
          <cell r="D276" t="str">
            <v>CE589.760</v>
          </cell>
          <cell r="E276" t="str">
            <v>AUD</v>
          </cell>
          <cell r="F276" t="str">
            <v>EA</v>
          </cell>
          <cell r="G276">
            <v>44937</v>
          </cell>
          <cell r="H276" t="str">
            <v>06/30/24</v>
          </cell>
          <cell r="J276" t="str">
            <v>List Price</v>
          </cell>
          <cell r="K276" t="str">
            <v>Quantity</v>
          </cell>
          <cell r="L276" t="str">
            <v>No</v>
          </cell>
        </row>
        <row r="277">
          <cell r="D277" t="str">
            <v>CE604.760</v>
          </cell>
          <cell r="E277" t="str">
            <v>AUD</v>
          </cell>
          <cell r="F277" t="str">
            <v>EA</v>
          </cell>
          <cell r="G277">
            <v>44937</v>
          </cell>
          <cell r="H277" t="str">
            <v>06/30/24</v>
          </cell>
          <cell r="J277" t="str">
            <v>List Price</v>
          </cell>
          <cell r="K277" t="str">
            <v>Quantity</v>
          </cell>
          <cell r="L277" t="str">
            <v>No</v>
          </cell>
        </row>
        <row r="278">
          <cell r="D278" t="str">
            <v>CE6040001</v>
          </cell>
          <cell r="E278" t="str">
            <v>AUD</v>
          </cell>
          <cell r="F278" t="str">
            <v>RL</v>
          </cell>
          <cell r="G278">
            <v>44937</v>
          </cell>
          <cell r="H278" t="str">
            <v>06/30/24</v>
          </cell>
          <cell r="J278" t="str">
            <v>List Price</v>
          </cell>
          <cell r="K278" t="str">
            <v>Quantity</v>
          </cell>
          <cell r="L278" t="str">
            <v>No</v>
          </cell>
        </row>
        <row r="279">
          <cell r="D279" t="str">
            <v>ME00306</v>
          </cell>
          <cell r="E279" t="str">
            <v>AUD</v>
          </cell>
          <cell r="F279" t="str">
            <v>RL</v>
          </cell>
          <cell r="G279">
            <v>44937</v>
          </cell>
          <cell r="H279" t="str">
            <v>06/30/24</v>
          </cell>
          <cell r="J279" t="str">
            <v>List Price</v>
          </cell>
          <cell r="K279" t="str">
            <v>Quantity</v>
          </cell>
          <cell r="L279" t="str">
            <v>No</v>
          </cell>
        </row>
        <row r="280">
          <cell r="D280" t="str">
            <v>SE00306.762</v>
          </cell>
          <cell r="E280" t="str">
            <v>AUD</v>
          </cell>
          <cell r="F280" t="str">
            <v>EA</v>
          </cell>
          <cell r="G280">
            <v>44937</v>
          </cell>
          <cell r="H280" t="str">
            <v>06/30/24</v>
          </cell>
          <cell r="J280" t="str">
            <v>List Price</v>
          </cell>
          <cell r="K280" t="str">
            <v>Quantity</v>
          </cell>
          <cell r="L280" t="str">
            <v>No</v>
          </cell>
        </row>
        <row r="281">
          <cell r="D281" t="str">
            <v>M22226</v>
          </cell>
          <cell r="E281" t="str">
            <v>AUD</v>
          </cell>
          <cell r="F281" t="str">
            <v>EA</v>
          </cell>
          <cell r="G281" t="str">
            <v>11/24/23</v>
          </cell>
          <cell r="H281" t="str">
            <v>06/30/24</v>
          </cell>
          <cell r="J281" t="str">
            <v>List Price</v>
          </cell>
          <cell r="K281" t="str">
            <v>Quantity</v>
          </cell>
          <cell r="L281" t="str">
            <v>No</v>
          </cell>
        </row>
        <row r="282">
          <cell r="D282" t="str">
            <v>M22425</v>
          </cell>
          <cell r="E282" t="str">
            <v>AUD</v>
          </cell>
          <cell r="F282" t="str">
            <v>EA</v>
          </cell>
          <cell r="G282" t="str">
            <v>11/24/23</v>
          </cell>
          <cell r="H282" t="str">
            <v>06/30/24</v>
          </cell>
          <cell r="J282" t="str">
            <v>List Price</v>
          </cell>
          <cell r="K282" t="str">
            <v>Quantity</v>
          </cell>
          <cell r="L282" t="str">
            <v>No</v>
          </cell>
        </row>
        <row r="283">
          <cell r="D283" t="str">
            <v>CB4013</v>
          </cell>
          <cell r="E283" t="str">
            <v>AUD</v>
          </cell>
          <cell r="F283" t="str">
            <v>RL</v>
          </cell>
          <cell r="G283" t="str">
            <v>11/24/23</v>
          </cell>
          <cell r="J283" t="str">
            <v>List Price</v>
          </cell>
          <cell r="K283" t="str">
            <v>Quantity</v>
          </cell>
          <cell r="L283" t="str">
            <v>No</v>
          </cell>
        </row>
        <row r="284">
          <cell r="D284" t="str">
            <v>CB4014</v>
          </cell>
          <cell r="E284" t="str">
            <v>AUD</v>
          </cell>
          <cell r="F284" t="str">
            <v>RL</v>
          </cell>
          <cell r="G284" t="str">
            <v>11/24/23</v>
          </cell>
          <cell r="J284" t="str">
            <v>List Price</v>
          </cell>
          <cell r="K284" t="str">
            <v>Quantity</v>
          </cell>
          <cell r="L284" t="str">
            <v>No</v>
          </cell>
        </row>
        <row r="285">
          <cell r="D285" t="str">
            <v>ME00306.100M</v>
          </cell>
          <cell r="E285" t="str">
            <v>AUD</v>
          </cell>
          <cell r="F285" t="str">
            <v>RL</v>
          </cell>
          <cell r="G285">
            <v>45272</v>
          </cell>
          <cell r="J285" t="str">
            <v>List Price</v>
          </cell>
          <cell r="K285" t="str">
            <v>Quantity</v>
          </cell>
          <cell r="L285" t="str">
            <v>No</v>
          </cell>
        </row>
        <row r="286">
          <cell r="D286" t="str">
            <v>ME00306.50M</v>
          </cell>
          <cell r="E286" t="str">
            <v>AUD</v>
          </cell>
          <cell r="F286" t="str">
            <v>RL</v>
          </cell>
          <cell r="G286">
            <v>45272</v>
          </cell>
          <cell r="J286" t="str">
            <v>List Price</v>
          </cell>
          <cell r="K286" t="str">
            <v>Quantity</v>
          </cell>
          <cell r="L286" t="str">
            <v>No</v>
          </cell>
        </row>
        <row r="287">
          <cell r="D287" t="str">
            <v>CA6970001B</v>
          </cell>
          <cell r="E287" t="str">
            <v>AUD</v>
          </cell>
          <cell r="F287" t="str">
            <v>BX</v>
          </cell>
          <cell r="G287">
            <v>45272</v>
          </cell>
          <cell r="H287" t="str">
            <v>06/30/24</v>
          </cell>
          <cell r="J287" t="str">
            <v>List Price</v>
          </cell>
          <cell r="K287" t="str">
            <v>Quantity</v>
          </cell>
          <cell r="L287" t="str">
            <v>No</v>
          </cell>
        </row>
        <row r="288">
          <cell r="D288" t="str">
            <v>CB7920002</v>
          </cell>
          <cell r="E288" t="str">
            <v>AUD</v>
          </cell>
          <cell r="F288" t="str">
            <v>M2</v>
          </cell>
          <cell r="G288">
            <v>45536</v>
          </cell>
          <cell r="J288" t="str">
            <v>List Price</v>
          </cell>
          <cell r="K288" t="str">
            <v>Quantity</v>
          </cell>
          <cell r="L288" t="str">
            <v>No</v>
          </cell>
        </row>
        <row r="289">
          <cell r="D289" t="str">
            <v>CE5810001</v>
          </cell>
          <cell r="E289" t="str">
            <v>AUD</v>
          </cell>
          <cell r="F289" t="str">
            <v>M2</v>
          </cell>
          <cell r="G289">
            <v>45536</v>
          </cell>
          <cell r="J289" t="str">
            <v>List Price</v>
          </cell>
          <cell r="K289" t="str">
            <v>Quantity</v>
          </cell>
          <cell r="L289" t="str">
            <v>No</v>
          </cell>
        </row>
        <row r="290">
          <cell r="D290" t="str">
            <v>CE6040001</v>
          </cell>
          <cell r="E290" t="str">
            <v>AUD</v>
          </cell>
          <cell r="F290" t="str">
            <v>M2</v>
          </cell>
          <cell r="G290">
            <v>45536</v>
          </cell>
          <cell r="J290" t="str">
            <v>List Price</v>
          </cell>
          <cell r="K290" t="str">
            <v>Quantity</v>
          </cell>
          <cell r="L290" t="str">
            <v>No</v>
          </cell>
        </row>
        <row r="291">
          <cell r="D291" t="str">
            <v>ME00306</v>
          </cell>
          <cell r="E291" t="str">
            <v>AUD</v>
          </cell>
          <cell r="F291" t="str">
            <v>M2</v>
          </cell>
          <cell r="G291">
            <v>45536</v>
          </cell>
          <cell r="J291" t="str">
            <v>List Price</v>
          </cell>
          <cell r="K291" t="str">
            <v>Quantity</v>
          </cell>
          <cell r="L291" t="str">
            <v>No</v>
          </cell>
        </row>
        <row r="292">
          <cell r="D292" t="str">
            <v>SPP - 5L</v>
          </cell>
          <cell r="E292" t="str">
            <v>AUD</v>
          </cell>
          <cell r="F292" t="str">
            <v>BX</v>
          </cell>
          <cell r="G292" t="str">
            <v>02/19/24</v>
          </cell>
          <cell r="H292" t="str">
            <v>06/30/24</v>
          </cell>
          <cell r="J292" t="str">
            <v>List Price</v>
          </cell>
          <cell r="K292" t="str">
            <v>Quantity</v>
          </cell>
          <cell r="L292" t="str">
            <v>No</v>
          </cell>
        </row>
        <row r="293">
          <cell r="D293" t="str">
            <v>CPRP - COL</v>
          </cell>
          <cell r="E293" t="str">
            <v>AUD</v>
          </cell>
          <cell r="F293" t="str">
            <v>EA</v>
          </cell>
          <cell r="G293" t="str">
            <v>02/22/24</v>
          </cell>
          <cell r="J293" t="str">
            <v>List Price</v>
          </cell>
          <cell r="K293" t="str">
            <v>Quantity</v>
          </cell>
          <cell r="L293" t="str">
            <v>No</v>
          </cell>
        </row>
        <row r="294">
          <cell r="D294" t="str">
            <v>CPRP - DEL</v>
          </cell>
          <cell r="E294" t="str">
            <v>AUD</v>
          </cell>
          <cell r="F294" t="str">
            <v>EA</v>
          </cell>
          <cell r="G294" t="str">
            <v>02/22/24</v>
          </cell>
          <cell r="J294" t="str">
            <v>List Price</v>
          </cell>
          <cell r="K294" t="str">
            <v>Quantity</v>
          </cell>
          <cell r="L294" t="str">
            <v>No</v>
          </cell>
        </row>
        <row r="295">
          <cell r="D295" t="str">
            <v>CPRP - COL</v>
          </cell>
          <cell r="E295" t="str">
            <v>AUD</v>
          </cell>
          <cell r="F295" t="str">
            <v>EA</v>
          </cell>
          <cell r="G295" t="str">
            <v>02/22/24</v>
          </cell>
          <cell r="J295" t="str">
            <v>List Price</v>
          </cell>
          <cell r="K295" t="str">
            <v>Quantity</v>
          </cell>
          <cell r="L295" t="str">
            <v>No</v>
          </cell>
        </row>
        <row r="296">
          <cell r="D296" t="str">
            <v>CPRP - DEL</v>
          </cell>
          <cell r="E296" t="str">
            <v>AUD</v>
          </cell>
          <cell r="F296" t="str">
            <v>EA</v>
          </cell>
          <cell r="G296" t="str">
            <v>02/22/24</v>
          </cell>
          <cell r="J296" t="str">
            <v>List Price</v>
          </cell>
          <cell r="K296" t="str">
            <v>Quantity</v>
          </cell>
          <cell r="L296" t="str">
            <v>No</v>
          </cell>
        </row>
        <row r="297">
          <cell r="D297" t="str">
            <v>V8000EADA</v>
          </cell>
          <cell r="E297" t="str">
            <v>AUD</v>
          </cell>
          <cell r="F297" t="str">
            <v>RL</v>
          </cell>
          <cell r="G297" t="str">
            <v>03/19/24</v>
          </cell>
          <cell r="H297" t="str">
            <v>06/30/24</v>
          </cell>
          <cell r="J297" t="str">
            <v>List Price</v>
          </cell>
          <cell r="K297" t="str">
            <v>Quantity</v>
          </cell>
          <cell r="L297" t="str">
            <v>No</v>
          </cell>
        </row>
        <row r="298">
          <cell r="D298" t="str">
            <v>V8005EADA</v>
          </cell>
          <cell r="E298" t="str">
            <v>AUD</v>
          </cell>
          <cell r="F298" t="str">
            <v>RL</v>
          </cell>
          <cell r="G298" t="str">
            <v>03/19/24</v>
          </cell>
          <cell r="H298" t="str">
            <v>06/30/24</v>
          </cell>
          <cell r="J298" t="str">
            <v>List Price</v>
          </cell>
          <cell r="K298" t="str">
            <v>Quantity</v>
          </cell>
          <cell r="L298" t="str">
            <v>No</v>
          </cell>
        </row>
        <row r="299">
          <cell r="D299" t="str">
            <v>V8007EADA</v>
          </cell>
          <cell r="E299" t="str">
            <v>AUD</v>
          </cell>
          <cell r="F299" t="str">
            <v>RL</v>
          </cell>
          <cell r="G299" t="str">
            <v>03/19/24</v>
          </cell>
          <cell r="H299" t="str">
            <v>06/30/24</v>
          </cell>
          <cell r="J299" t="str">
            <v>List Price</v>
          </cell>
          <cell r="K299" t="str">
            <v>Quantity</v>
          </cell>
          <cell r="L299" t="str">
            <v>No</v>
          </cell>
        </row>
        <row r="300">
          <cell r="D300" t="str">
            <v>V8008EADA</v>
          </cell>
          <cell r="E300" t="str">
            <v>AUD</v>
          </cell>
          <cell r="F300" t="str">
            <v>RL</v>
          </cell>
          <cell r="G300" t="str">
            <v>03/19/24</v>
          </cell>
          <cell r="H300" t="str">
            <v>06/30/24</v>
          </cell>
          <cell r="J300" t="str">
            <v>List Price</v>
          </cell>
          <cell r="K300" t="str">
            <v>Quantity</v>
          </cell>
          <cell r="L300" t="str">
            <v>No</v>
          </cell>
        </row>
        <row r="301">
          <cell r="D301" t="str">
            <v>V8013EADA</v>
          </cell>
          <cell r="E301" t="str">
            <v>AUD</v>
          </cell>
          <cell r="F301" t="str">
            <v>RL</v>
          </cell>
          <cell r="G301" t="str">
            <v>03/19/24</v>
          </cell>
          <cell r="H301" t="str">
            <v>06/30/24</v>
          </cell>
          <cell r="J301" t="str">
            <v>List Price</v>
          </cell>
          <cell r="K301" t="str">
            <v>Quantity</v>
          </cell>
          <cell r="L301" t="str">
            <v>No</v>
          </cell>
        </row>
        <row r="302">
          <cell r="D302" t="str">
            <v>V8014EADA</v>
          </cell>
          <cell r="E302" t="str">
            <v>AUD</v>
          </cell>
          <cell r="F302" t="str">
            <v>RL</v>
          </cell>
          <cell r="G302" t="str">
            <v>03/19/24</v>
          </cell>
          <cell r="H302" t="str">
            <v>06/30/24</v>
          </cell>
          <cell r="J302" t="str">
            <v>List Price</v>
          </cell>
          <cell r="K302" t="str">
            <v>Quantity</v>
          </cell>
          <cell r="L302" t="str">
            <v>No</v>
          </cell>
        </row>
        <row r="303">
          <cell r="D303" t="str">
            <v>DB0108</v>
          </cell>
          <cell r="E303" t="str">
            <v>AUD</v>
          </cell>
          <cell r="F303" t="str">
            <v>RL</v>
          </cell>
          <cell r="G303" t="str">
            <v>05/27/24</v>
          </cell>
          <cell r="H303" t="str">
            <v>06/30/24</v>
          </cell>
          <cell r="J303" t="str">
            <v>List Price</v>
          </cell>
          <cell r="K303" t="str">
            <v>Quantity</v>
          </cell>
          <cell r="L303" t="str">
            <v>No</v>
          </cell>
        </row>
      </sheetData>
      <sheetData sheetId="3" refreshError="1">
        <row r="1">
          <cell r="D1" t="str">
            <v>Item Cat</v>
          </cell>
          <cell r="E1" t="str">
            <v>Cur</v>
          </cell>
          <cell r="F1" t="str">
            <v>UM</v>
          </cell>
          <cell r="G1" t="str">
            <v>Start</v>
          </cell>
          <cell r="H1" t="str">
            <v>Expire</v>
          </cell>
          <cell r="I1" t="str">
            <v>Description</v>
          </cell>
          <cell r="J1" t="str">
            <v>Amount Type</v>
          </cell>
          <cell r="K1" t="str">
            <v>Quantity Type</v>
          </cell>
          <cell r="L1" t="str">
            <v>Manual</v>
          </cell>
        </row>
        <row r="2">
          <cell r="D2" t="str">
            <v>CB7920002</v>
          </cell>
          <cell r="E2" t="str">
            <v>AUD</v>
          </cell>
          <cell r="F2" t="str">
            <v>M2</v>
          </cell>
          <cell r="G2">
            <v>45536</v>
          </cell>
          <cell r="J2" t="str">
            <v>List Price</v>
          </cell>
          <cell r="K2" t="str">
            <v>Quantity</v>
          </cell>
          <cell r="L2" t="str">
            <v>No</v>
          </cell>
        </row>
        <row r="3">
          <cell r="D3" t="str">
            <v>CE5810001</v>
          </cell>
          <cell r="E3" t="str">
            <v>AUD</v>
          </cell>
          <cell r="F3" t="str">
            <v>M2</v>
          </cell>
          <cell r="G3">
            <v>45536</v>
          </cell>
          <cell r="J3" t="str">
            <v>List Price</v>
          </cell>
          <cell r="K3" t="str">
            <v>Quantity</v>
          </cell>
          <cell r="L3" t="str">
            <v>No</v>
          </cell>
        </row>
        <row r="4">
          <cell r="D4" t="str">
            <v>CE6040001</v>
          </cell>
          <cell r="E4" t="str">
            <v>AUD</v>
          </cell>
          <cell r="F4" t="str">
            <v>M2</v>
          </cell>
          <cell r="G4">
            <v>45536</v>
          </cell>
          <cell r="J4" t="str">
            <v>List Price</v>
          </cell>
          <cell r="K4" t="str">
            <v>Quantity</v>
          </cell>
          <cell r="L4" t="str">
            <v>No</v>
          </cell>
        </row>
        <row r="5">
          <cell r="D5" t="str">
            <v>ME00306</v>
          </cell>
          <cell r="E5" t="str">
            <v>AUD</v>
          </cell>
          <cell r="F5" t="str">
            <v>M2</v>
          </cell>
          <cell r="G5">
            <v>45536</v>
          </cell>
          <cell r="J5" t="str">
            <v>List Price</v>
          </cell>
          <cell r="K5" t="str">
            <v>Quantity</v>
          </cell>
          <cell r="L5" t="str">
            <v>No</v>
          </cell>
        </row>
        <row r="6">
          <cell r="D6" t="str">
            <v>CPRP - COL</v>
          </cell>
          <cell r="E6" t="str">
            <v>AUD</v>
          </cell>
          <cell r="F6" t="str">
            <v>EA</v>
          </cell>
          <cell r="G6" t="str">
            <v>02/22/24</v>
          </cell>
          <cell r="J6" t="str">
            <v>List Price</v>
          </cell>
          <cell r="K6" t="str">
            <v>Quantity</v>
          </cell>
          <cell r="L6" t="str">
            <v>No</v>
          </cell>
        </row>
        <row r="7">
          <cell r="D7" t="str">
            <v>CPRP - DEL</v>
          </cell>
          <cell r="E7" t="str">
            <v>AUD</v>
          </cell>
          <cell r="F7" t="str">
            <v>EA</v>
          </cell>
          <cell r="G7" t="str">
            <v>02/22/24</v>
          </cell>
          <cell r="J7" t="str">
            <v>List Price</v>
          </cell>
          <cell r="K7" t="str">
            <v>Quantity</v>
          </cell>
          <cell r="L7" t="str">
            <v>No</v>
          </cell>
        </row>
        <row r="8">
          <cell r="D8" t="str">
            <v>CPRP - COL</v>
          </cell>
          <cell r="E8" t="str">
            <v>AUD</v>
          </cell>
          <cell r="F8" t="str">
            <v>EA</v>
          </cell>
          <cell r="G8" t="str">
            <v>02/22/24</v>
          </cell>
          <cell r="J8" t="str">
            <v>List Price</v>
          </cell>
          <cell r="K8" t="str">
            <v>Quantity</v>
          </cell>
          <cell r="L8" t="str">
            <v>No</v>
          </cell>
        </row>
        <row r="9">
          <cell r="D9" t="str">
            <v>CPRP - DEL</v>
          </cell>
          <cell r="E9" t="str">
            <v>AUD</v>
          </cell>
          <cell r="F9" t="str">
            <v>EA</v>
          </cell>
          <cell r="G9" t="str">
            <v>02/22/24</v>
          </cell>
          <cell r="J9" t="str">
            <v>List Price</v>
          </cell>
          <cell r="K9" t="str">
            <v>Quantity</v>
          </cell>
          <cell r="L9" t="str">
            <v>No</v>
          </cell>
        </row>
        <row r="10">
          <cell r="D10" t="str">
            <v>A000357</v>
          </cell>
          <cell r="E10" t="str">
            <v>AUD</v>
          </cell>
          <cell r="F10" t="str">
            <v>RL</v>
          </cell>
          <cell r="G10">
            <v>45298</v>
          </cell>
          <cell r="J10" t="str">
            <v>List Price</v>
          </cell>
          <cell r="K10" t="str">
            <v>Quantity</v>
          </cell>
          <cell r="L10" t="str">
            <v>No</v>
          </cell>
        </row>
        <row r="11">
          <cell r="D11" t="str">
            <v>A000396</v>
          </cell>
          <cell r="E11" t="str">
            <v>AUD</v>
          </cell>
          <cell r="F11" t="str">
            <v>RL</v>
          </cell>
          <cell r="G11">
            <v>45298</v>
          </cell>
          <cell r="J11" t="str">
            <v>List Price</v>
          </cell>
          <cell r="K11" t="str">
            <v>Quantity</v>
          </cell>
          <cell r="L11" t="str">
            <v>No</v>
          </cell>
        </row>
        <row r="12">
          <cell r="D12" t="str">
            <v>A000491</v>
          </cell>
          <cell r="E12" t="str">
            <v>AUD</v>
          </cell>
          <cell r="F12" t="str">
            <v>RL</v>
          </cell>
          <cell r="G12">
            <v>45298</v>
          </cell>
          <cell r="J12" t="str">
            <v>List Price</v>
          </cell>
          <cell r="K12" t="str">
            <v>Quantity</v>
          </cell>
          <cell r="L12" t="str">
            <v>No</v>
          </cell>
        </row>
        <row r="13">
          <cell r="D13" t="str">
            <v>A001092</v>
          </cell>
          <cell r="E13" t="str">
            <v>AUD</v>
          </cell>
          <cell r="F13" t="str">
            <v>RL</v>
          </cell>
          <cell r="G13">
            <v>45298</v>
          </cell>
          <cell r="J13" t="str">
            <v>List Price</v>
          </cell>
          <cell r="K13" t="str">
            <v>Quantity</v>
          </cell>
          <cell r="L13" t="str">
            <v>No</v>
          </cell>
        </row>
        <row r="14">
          <cell r="D14" t="str">
            <v>A001543</v>
          </cell>
          <cell r="E14" t="str">
            <v>AUD</v>
          </cell>
          <cell r="F14" t="str">
            <v>RL</v>
          </cell>
          <cell r="G14">
            <v>45298</v>
          </cell>
          <cell r="J14" t="str">
            <v>List Price</v>
          </cell>
          <cell r="K14" t="str">
            <v>Quantity</v>
          </cell>
          <cell r="L14" t="str">
            <v>No</v>
          </cell>
        </row>
        <row r="15">
          <cell r="D15" t="str">
            <v>A002539</v>
          </cell>
          <cell r="E15" t="str">
            <v>AUD</v>
          </cell>
          <cell r="F15" t="str">
            <v>RL</v>
          </cell>
          <cell r="G15">
            <v>45298</v>
          </cell>
          <cell r="J15" t="str">
            <v>List Price</v>
          </cell>
          <cell r="K15" t="str">
            <v>Quantity</v>
          </cell>
          <cell r="L15" t="str">
            <v>No</v>
          </cell>
        </row>
        <row r="16">
          <cell r="D16" t="str">
            <v>A002588</v>
          </cell>
          <cell r="E16" t="str">
            <v>AUD</v>
          </cell>
          <cell r="F16" t="str">
            <v>RL</v>
          </cell>
          <cell r="G16">
            <v>45298</v>
          </cell>
          <cell r="J16" t="str">
            <v>List Price</v>
          </cell>
          <cell r="K16" t="str">
            <v>Quantity</v>
          </cell>
          <cell r="L16" t="str">
            <v>No</v>
          </cell>
        </row>
        <row r="17">
          <cell r="D17" t="str">
            <v>A004225</v>
          </cell>
          <cell r="E17" t="str">
            <v>AUD</v>
          </cell>
          <cell r="F17" t="str">
            <v>RL</v>
          </cell>
          <cell r="G17">
            <v>45298</v>
          </cell>
          <cell r="J17" t="str">
            <v>List Price</v>
          </cell>
          <cell r="K17" t="str">
            <v>Quantity</v>
          </cell>
          <cell r="L17" t="str">
            <v>No</v>
          </cell>
        </row>
        <row r="18">
          <cell r="D18" t="str">
            <v>A004226</v>
          </cell>
          <cell r="E18" t="str">
            <v>AUD</v>
          </cell>
          <cell r="F18" t="str">
            <v>RL</v>
          </cell>
          <cell r="G18">
            <v>45298</v>
          </cell>
          <cell r="J18" t="str">
            <v>List Price</v>
          </cell>
          <cell r="K18" t="str">
            <v>Quantity</v>
          </cell>
          <cell r="L18" t="str">
            <v>No</v>
          </cell>
        </row>
        <row r="19">
          <cell r="D19" t="str">
            <v>A004228</v>
          </cell>
          <cell r="E19" t="str">
            <v>AUD</v>
          </cell>
          <cell r="F19" t="str">
            <v>RL</v>
          </cell>
          <cell r="G19">
            <v>45298</v>
          </cell>
          <cell r="J19" t="str">
            <v>List Price</v>
          </cell>
          <cell r="K19" t="str">
            <v>Quantity</v>
          </cell>
          <cell r="L19" t="str">
            <v>No</v>
          </cell>
        </row>
        <row r="20">
          <cell r="D20" t="str">
            <v>A004229</v>
          </cell>
          <cell r="E20" t="str">
            <v>AUD</v>
          </cell>
          <cell r="F20" t="str">
            <v>RL</v>
          </cell>
          <cell r="G20">
            <v>45298</v>
          </cell>
          <cell r="J20" t="str">
            <v>List Price</v>
          </cell>
          <cell r="K20" t="str">
            <v>Quantity</v>
          </cell>
          <cell r="L20" t="str">
            <v>No</v>
          </cell>
        </row>
        <row r="21">
          <cell r="D21" t="str">
            <v>A005615</v>
          </cell>
          <cell r="E21" t="str">
            <v>AUD</v>
          </cell>
          <cell r="F21" t="str">
            <v>RL</v>
          </cell>
          <cell r="G21">
            <v>45298</v>
          </cell>
          <cell r="J21" t="str">
            <v>List Price</v>
          </cell>
          <cell r="K21" t="str">
            <v>Quantity</v>
          </cell>
          <cell r="L21" t="str">
            <v>No</v>
          </cell>
        </row>
        <row r="22">
          <cell r="D22" t="str">
            <v>A005632</v>
          </cell>
          <cell r="E22" t="str">
            <v>AUD</v>
          </cell>
          <cell r="F22" t="str">
            <v>RL</v>
          </cell>
          <cell r="G22">
            <v>45298</v>
          </cell>
          <cell r="J22" t="str">
            <v>List Price</v>
          </cell>
          <cell r="K22" t="str">
            <v>Quantity</v>
          </cell>
          <cell r="L22" t="str">
            <v>No</v>
          </cell>
        </row>
        <row r="23">
          <cell r="D23" t="str">
            <v>A005721</v>
          </cell>
          <cell r="E23" t="str">
            <v>AUD</v>
          </cell>
          <cell r="F23" t="str">
            <v>RL</v>
          </cell>
          <cell r="G23">
            <v>45298</v>
          </cell>
          <cell r="J23" t="str">
            <v>List Price</v>
          </cell>
          <cell r="K23" t="str">
            <v>Quantity</v>
          </cell>
          <cell r="L23" t="str">
            <v>No</v>
          </cell>
        </row>
        <row r="24">
          <cell r="D24" t="str">
            <v>A005722</v>
          </cell>
          <cell r="E24" t="str">
            <v>AUD</v>
          </cell>
          <cell r="F24" t="str">
            <v>RL</v>
          </cell>
          <cell r="G24">
            <v>45298</v>
          </cell>
          <cell r="J24" t="str">
            <v>List Price</v>
          </cell>
          <cell r="K24" t="str">
            <v>Quantity</v>
          </cell>
          <cell r="L24" t="str">
            <v>No</v>
          </cell>
        </row>
        <row r="25">
          <cell r="D25" t="str">
            <v>A005952</v>
          </cell>
          <cell r="E25" t="str">
            <v>AUD</v>
          </cell>
          <cell r="F25" t="str">
            <v>RL</v>
          </cell>
          <cell r="G25">
            <v>45298</v>
          </cell>
          <cell r="J25" t="str">
            <v>List Price</v>
          </cell>
          <cell r="K25" t="str">
            <v>Quantity</v>
          </cell>
          <cell r="L25" t="str">
            <v>No</v>
          </cell>
        </row>
        <row r="26">
          <cell r="D26" t="str">
            <v>A006040</v>
          </cell>
          <cell r="E26" t="str">
            <v>AUD</v>
          </cell>
          <cell r="F26" t="str">
            <v>RL</v>
          </cell>
          <cell r="G26">
            <v>45298</v>
          </cell>
          <cell r="J26" t="str">
            <v>List Price</v>
          </cell>
          <cell r="K26" t="str">
            <v>Quantity</v>
          </cell>
          <cell r="L26" t="str">
            <v>No</v>
          </cell>
        </row>
        <row r="27">
          <cell r="D27" t="str">
            <v>A006041</v>
          </cell>
          <cell r="E27" t="str">
            <v>AUD</v>
          </cell>
          <cell r="F27" t="str">
            <v>RL</v>
          </cell>
          <cell r="G27">
            <v>45298</v>
          </cell>
          <cell r="J27" t="str">
            <v>List Price</v>
          </cell>
          <cell r="K27" t="str">
            <v>Quantity</v>
          </cell>
          <cell r="L27" t="str">
            <v>No</v>
          </cell>
        </row>
        <row r="28">
          <cell r="D28" t="str">
            <v>A006080</v>
          </cell>
          <cell r="E28" t="str">
            <v>AUD</v>
          </cell>
          <cell r="F28" t="str">
            <v>RL</v>
          </cell>
          <cell r="G28">
            <v>45298</v>
          </cell>
          <cell r="J28" t="str">
            <v>List Price</v>
          </cell>
          <cell r="K28" t="str">
            <v>Quantity</v>
          </cell>
          <cell r="L28" t="str">
            <v>No</v>
          </cell>
        </row>
        <row r="29">
          <cell r="D29" t="str">
            <v>A006081</v>
          </cell>
          <cell r="E29" t="str">
            <v>AUD</v>
          </cell>
          <cell r="F29" t="str">
            <v>RL</v>
          </cell>
          <cell r="G29">
            <v>45298</v>
          </cell>
          <cell r="J29" t="str">
            <v>List Price</v>
          </cell>
          <cell r="K29" t="str">
            <v>Quantity</v>
          </cell>
          <cell r="L29" t="str">
            <v>No</v>
          </cell>
        </row>
        <row r="30">
          <cell r="D30" t="str">
            <v>A006082</v>
          </cell>
          <cell r="E30" t="str">
            <v>AUD</v>
          </cell>
          <cell r="F30" t="str">
            <v>RL</v>
          </cell>
          <cell r="G30">
            <v>45298</v>
          </cell>
          <cell r="J30" t="str">
            <v>List Price</v>
          </cell>
          <cell r="K30" t="str">
            <v>Quantity</v>
          </cell>
          <cell r="L30" t="str">
            <v>No</v>
          </cell>
        </row>
        <row r="31">
          <cell r="D31" t="str">
            <v>A006083</v>
          </cell>
          <cell r="E31" t="str">
            <v>AUD</v>
          </cell>
          <cell r="F31" t="str">
            <v>RL</v>
          </cell>
          <cell r="G31">
            <v>45298</v>
          </cell>
          <cell r="J31" t="str">
            <v>List Price</v>
          </cell>
          <cell r="K31" t="str">
            <v>Quantity</v>
          </cell>
          <cell r="L31" t="str">
            <v>No</v>
          </cell>
        </row>
        <row r="32">
          <cell r="D32" t="str">
            <v>A006084</v>
          </cell>
          <cell r="E32" t="str">
            <v>AUD</v>
          </cell>
          <cell r="F32" t="str">
            <v>RL</v>
          </cell>
          <cell r="G32">
            <v>45298</v>
          </cell>
          <cell r="J32" t="str">
            <v>List Price</v>
          </cell>
          <cell r="K32" t="str">
            <v>Quantity</v>
          </cell>
          <cell r="L32" t="str">
            <v>No</v>
          </cell>
        </row>
        <row r="33">
          <cell r="D33" t="str">
            <v>A006085</v>
          </cell>
          <cell r="E33" t="str">
            <v>AUD</v>
          </cell>
          <cell r="F33" t="str">
            <v>RL</v>
          </cell>
          <cell r="G33">
            <v>45298</v>
          </cell>
          <cell r="J33" t="str">
            <v>List Price</v>
          </cell>
          <cell r="K33" t="str">
            <v>Quantity</v>
          </cell>
          <cell r="L33" t="str">
            <v>No</v>
          </cell>
        </row>
        <row r="34">
          <cell r="D34" t="str">
            <v>A006091</v>
          </cell>
          <cell r="E34" t="str">
            <v>AUD</v>
          </cell>
          <cell r="F34" t="str">
            <v>RL</v>
          </cell>
          <cell r="G34">
            <v>45298</v>
          </cell>
          <cell r="J34" t="str">
            <v>List Price</v>
          </cell>
          <cell r="K34" t="str">
            <v>Quantity</v>
          </cell>
          <cell r="L34" t="str">
            <v>No</v>
          </cell>
        </row>
        <row r="35">
          <cell r="D35" t="str">
            <v>A006094</v>
          </cell>
          <cell r="E35" t="str">
            <v>AUD</v>
          </cell>
          <cell r="F35" t="str">
            <v>RL</v>
          </cell>
          <cell r="G35">
            <v>45298</v>
          </cell>
          <cell r="J35" t="str">
            <v>List Price</v>
          </cell>
          <cell r="K35" t="str">
            <v>Quantity</v>
          </cell>
          <cell r="L35" t="str">
            <v>No</v>
          </cell>
        </row>
        <row r="36">
          <cell r="D36" t="str">
            <v>A006095</v>
          </cell>
          <cell r="E36" t="str">
            <v>AUD</v>
          </cell>
          <cell r="F36" t="str">
            <v>RL</v>
          </cell>
          <cell r="G36">
            <v>45298</v>
          </cell>
          <cell r="J36" t="str">
            <v>List Price</v>
          </cell>
          <cell r="K36" t="str">
            <v>Quantity</v>
          </cell>
          <cell r="L36" t="str">
            <v>No</v>
          </cell>
        </row>
        <row r="37">
          <cell r="D37" t="str">
            <v>A006103</v>
          </cell>
          <cell r="E37" t="str">
            <v>AUD</v>
          </cell>
          <cell r="F37" t="str">
            <v>RL</v>
          </cell>
          <cell r="G37">
            <v>45298</v>
          </cell>
          <cell r="J37" t="str">
            <v>List Price</v>
          </cell>
          <cell r="K37" t="str">
            <v>Quantity</v>
          </cell>
          <cell r="L37" t="str">
            <v>No</v>
          </cell>
        </row>
        <row r="38">
          <cell r="D38" t="str">
            <v>A006110</v>
          </cell>
          <cell r="E38" t="str">
            <v>AUD</v>
          </cell>
          <cell r="F38" t="str">
            <v>RL</v>
          </cell>
          <cell r="G38">
            <v>45298</v>
          </cell>
          <cell r="J38" t="str">
            <v>List Price</v>
          </cell>
          <cell r="K38" t="str">
            <v>Quantity</v>
          </cell>
          <cell r="L38" t="str">
            <v>No</v>
          </cell>
        </row>
        <row r="39">
          <cell r="D39" t="str">
            <v>A006111</v>
          </cell>
          <cell r="E39" t="str">
            <v>AUD</v>
          </cell>
          <cell r="F39" t="str">
            <v>RL</v>
          </cell>
          <cell r="G39">
            <v>45298</v>
          </cell>
          <cell r="J39" t="str">
            <v>List Price</v>
          </cell>
          <cell r="K39" t="str">
            <v>Quantity</v>
          </cell>
          <cell r="L39" t="str">
            <v>No</v>
          </cell>
        </row>
        <row r="40">
          <cell r="D40" t="str">
            <v>A006134</v>
          </cell>
          <cell r="E40" t="str">
            <v>AUD</v>
          </cell>
          <cell r="F40" t="str">
            <v>RL</v>
          </cell>
          <cell r="G40">
            <v>45298</v>
          </cell>
          <cell r="J40" t="str">
            <v>List Price</v>
          </cell>
          <cell r="K40" t="str">
            <v>Quantity</v>
          </cell>
          <cell r="L40" t="str">
            <v>No</v>
          </cell>
        </row>
        <row r="41">
          <cell r="D41" t="str">
            <v>A006149</v>
          </cell>
          <cell r="E41" t="str">
            <v>AUD</v>
          </cell>
          <cell r="F41" t="str">
            <v>RL</v>
          </cell>
          <cell r="G41">
            <v>45298</v>
          </cell>
          <cell r="J41" t="str">
            <v>List Price</v>
          </cell>
          <cell r="K41" t="str">
            <v>Quantity</v>
          </cell>
          <cell r="L41" t="str">
            <v>No</v>
          </cell>
        </row>
        <row r="42">
          <cell r="D42" t="str">
            <v>A006173</v>
          </cell>
          <cell r="E42" t="str">
            <v>AUD</v>
          </cell>
          <cell r="F42" t="str">
            <v>RL</v>
          </cell>
          <cell r="G42">
            <v>45298</v>
          </cell>
          <cell r="J42" t="str">
            <v>List Price</v>
          </cell>
          <cell r="K42" t="str">
            <v>Quantity</v>
          </cell>
          <cell r="L42" t="str">
            <v>No</v>
          </cell>
        </row>
        <row r="43">
          <cell r="D43" t="str">
            <v>A006204</v>
          </cell>
          <cell r="E43" t="str">
            <v>AUD</v>
          </cell>
          <cell r="F43" t="str">
            <v>RL</v>
          </cell>
          <cell r="G43">
            <v>45298</v>
          </cell>
          <cell r="J43" t="str">
            <v>List Price</v>
          </cell>
          <cell r="K43" t="str">
            <v>Quantity</v>
          </cell>
          <cell r="L43" t="str">
            <v>No</v>
          </cell>
        </row>
        <row r="44">
          <cell r="D44" t="str">
            <v>A111163</v>
          </cell>
          <cell r="E44" t="str">
            <v>AUD</v>
          </cell>
          <cell r="F44" t="str">
            <v>RL</v>
          </cell>
          <cell r="G44">
            <v>45298</v>
          </cell>
          <cell r="J44" t="str">
            <v>List Price</v>
          </cell>
          <cell r="K44" t="str">
            <v>Quantity</v>
          </cell>
          <cell r="L44" t="str">
            <v>No</v>
          </cell>
        </row>
        <row r="45">
          <cell r="D45" t="str">
            <v>A113470</v>
          </cell>
          <cell r="E45" t="str">
            <v>AUD</v>
          </cell>
          <cell r="F45" t="str">
            <v>RL</v>
          </cell>
          <cell r="G45">
            <v>45298</v>
          </cell>
          <cell r="J45" t="str">
            <v>List Price</v>
          </cell>
          <cell r="K45" t="str">
            <v>Quantity</v>
          </cell>
          <cell r="L45" t="str">
            <v>No</v>
          </cell>
        </row>
        <row r="46">
          <cell r="D46" t="str">
            <v>A113472</v>
          </cell>
          <cell r="E46" t="str">
            <v>AUD</v>
          </cell>
          <cell r="F46" t="str">
            <v>RL</v>
          </cell>
          <cell r="G46">
            <v>45298</v>
          </cell>
          <cell r="J46" t="str">
            <v>List Price</v>
          </cell>
          <cell r="K46" t="str">
            <v>Quantity</v>
          </cell>
          <cell r="L46" t="str">
            <v>No</v>
          </cell>
        </row>
        <row r="47">
          <cell r="D47" t="str">
            <v>A113702</v>
          </cell>
          <cell r="E47" t="str">
            <v>AUD</v>
          </cell>
          <cell r="F47" t="str">
            <v>RL</v>
          </cell>
          <cell r="G47">
            <v>45298</v>
          </cell>
          <cell r="J47" t="str">
            <v>List Price</v>
          </cell>
          <cell r="K47" t="str">
            <v>Quantity</v>
          </cell>
          <cell r="L47" t="str">
            <v>No</v>
          </cell>
        </row>
        <row r="48">
          <cell r="D48" t="str">
            <v>A116020</v>
          </cell>
          <cell r="E48" t="str">
            <v>AUD</v>
          </cell>
          <cell r="F48" t="str">
            <v>RL</v>
          </cell>
          <cell r="G48">
            <v>45298</v>
          </cell>
          <cell r="J48" t="str">
            <v>List Price</v>
          </cell>
          <cell r="K48" t="str">
            <v>Quantity</v>
          </cell>
          <cell r="L48" t="str">
            <v>No</v>
          </cell>
        </row>
        <row r="49">
          <cell r="D49" t="str">
            <v>A358493</v>
          </cell>
          <cell r="E49" t="str">
            <v>AUD</v>
          </cell>
          <cell r="F49" t="str">
            <v>RL</v>
          </cell>
          <cell r="G49">
            <v>45298</v>
          </cell>
          <cell r="J49" t="str">
            <v>List Price</v>
          </cell>
          <cell r="K49" t="str">
            <v>Quantity</v>
          </cell>
          <cell r="L49" t="str">
            <v>No</v>
          </cell>
        </row>
        <row r="50">
          <cell r="D50" t="str">
            <v>A513984</v>
          </cell>
          <cell r="E50" t="str">
            <v>AUD</v>
          </cell>
          <cell r="F50" t="str">
            <v>RL</v>
          </cell>
          <cell r="G50">
            <v>45298</v>
          </cell>
          <cell r="J50" t="str">
            <v>List Price</v>
          </cell>
          <cell r="K50" t="str">
            <v>Quantity</v>
          </cell>
          <cell r="L50" t="str">
            <v>No</v>
          </cell>
        </row>
        <row r="51">
          <cell r="D51" t="str">
            <v>A524323</v>
          </cell>
          <cell r="E51" t="str">
            <v>AUD</v>
          </cell>
          <cell r="F51" t="str">
            <v>RL</v>
          </cell>
          <cell r="G51">
            <v>45298</v>
          </cell>
          <cell r="J51" t="str">
            <v>List Price</v>
          </cell>
          <cell r="K51" t="str">
            <v>Quantity</v>
          </cell>
          <cell r="L51" t="str">
            <v>No</v>
          </cell>
        </row>
        <row r="52">
          <cell r="D52" t="str">
            <v>A524324</v>
          </cell>
          <cell r="E52" t="str">
            <v>AUD</v>
          </cell>
          <cell r="F52" t="str">
            <v>RL</v>
          </cell>
          <cell r="G52">
            <v>45298</v>
          </cell>
          <cell r="J52" t="str">
            <v>List Price</v>
          </cell>
          <cell r="K52" t="str">
            <v>Quantity</v>
          </cell>
          <cell r="L52" t="str">
            <v>No</v>
          </cell>
        </row>
        <row r="53">
          <cell r="D53" t="str">
            <v>A524330</v>
          </cell>
          <cell r="E53" t="str">
            <v>AUD</v>
          </cell>
          <cell r="F53" t="str">
            <v>RL</v>
          </cell>
          <cell r="G53">
            <v>45298</v>
          </cell>
          <cell r="J53" t="str">
            <v>List Price</v>
          </cell>
          <cell r="K53" t="str">
            <v>Quantity</v>
          </cell>
          <cell r="L53" t="str">
            <v>No</v>
          </cell>
        </row>
        <row r="54">
          <cell r="D54" t="str">
            <v>A524331</v>
          </cell>
          <cell r="E54" t="str">
            <v>AUD</v>
          </cell>
          <cell r="F54" t="str">
            <v>RL</v>
          </cell>
          <cell r="G54">
            <v>45298</v>
          </cell>
          <cell r="J54" t="str">
            <v>List Price</v>
          </cell>
          <cell r="K54" t="str">
            <v>Quantity</v>
          </cell>
          <cell r="L54" t="str">
            <v>No</v>
          </cell>
        </row>
        <row r="55">
          <cell r="D55" t="str">
            <v>A524339</v>
          </cell>
          <cell r="E55" t="str">
            <v>AUD</v>
          </cell>
          <cell r="F55" t="str">
            <v>RL</v>
          </cell>
          <cell r="G55">
            <v>45298</v>
          </cell>
          <cell r="J55" t="str">
            <v>List Price</v>
          </cell>
          <cell r="K55" t="str">
            <v>Quantity</v>
          </cell>
          <cell r="L55" t="str">
            <v>No</v>
          </cell>
        </row>
        <row r="56">
          <cell r="D56" t="str">
            <v>AD-HGP</v>
          </cell>
          <cell r="E56" t="str">
            <v>AUD</v>
          </cell>
          <cell r="F56" t="str">
            <v>BX</v>
          </cell>
          <cell r="G56">
            <v>45298</v>
          </cell>
          <cell r="J56" t="str">
            <v>List Price</v>
          </cell>
          <cell r="K56" t="str">
            <v>Quantity</v>
          </cell>
          <cell r="L56" t="str">
            <v>No</v>
          </cell>
        </row>
        <row r="57">
          <cell r="D57" t="str">
            <v>AD-PSG-L</v>
          </cell>
          <cell r="E57" t="str">
            <v>AUD</v>
          </cell>
          <cell r="F57" t="str">
            <v>EA</v>
          </cell>
          <cell r="G57">
            <v>45298</v>
          </cell>
          <cell r="J57" t="str">
            <v>List Price</v>
          </cell>
          <cell r="K57" t="str">
            <v>Quantity</v>
          </cell>
          <cell r="L57" t="str">
            <v>No</v>
          </cell>
        </row>
        <row r="58">
          <cell r="D58" t="str">
            <v>AD-PSG-M</v>
          </cell>
          <cell r="E58" t="str">
            <v>AUD</v>
          </cell>
          <cell r="F58" t="str">
            <v>EA</v>
          </cell>
          <cell r="G58">
            <v>45298</v>
          </cell>
          <cell r="J58" t="str">
            <v>List Price</v>
          </cell>
          <cell r="K58" t="str">
            <v>Quantity</v>
          </cell>
          <cell r="L58" t="str">
            <v>No</v>
          </cell>
        </row>
        <row r="59">
          <cell r="D59" t="str">
            <v>AD-PSG-S</v>
          </cell>
          <cell r="E59" t="str">
            <v>AUD</v>
          </cell>
          <cell r="F59" t="str">
            <v>EA</v>
          </cell>
          <cell r="G59">
            <v>45298</v>
          </cell>
          <cell r="J59" t="str">
            <v>List Price</v>
          </cell>
          <cell r="K59" t="str">
            <v>Quantity</v>
          </cell>
          <cell r="L59" t="str">
            <v>No</v>
          </cell>
        </row>
        <row r="60">
          <cell r="D60" t="str">
            <v>AP8270001</v>
          </cell>
          <cell r="E60" t="str">
            <v>AUD</v>
          </cell>
          <cell r="F60" t="str">
            <v>BX</v>
          </cell>
          <cell r="G60">
            <v>45298</v>
          </cell>
          <cell r="J60" t="str">
            <v>List Price</v>
          </cell>
          <cell r="K60" t="str">
            <v>Quantity</v>
          </cell>
          <cell r="L60" t="str">
            <v>No</v>
          </cell>
        </row>
        <row r="61">
          <cell r="D61" t="str">
            <v>AP8270002</v>
          </cell>
          <cell r="E61" t="str">
            <v>AUD</v>
          </cell>
          <cell r="F61" t="str">
            <v>BX</v>
          </cell>
          <cell r="G61">
            <v>45298</v>
          </cell>
          <cell r="J61" t="str">
            <v>List Price</v>
          </cell>
          <cell r="K61" t="str">
            <v>Quantity</v>
          </cell>
          <cell r="L61" t="str">
            <v>No</v>
          </cell>
        </row>
        <row r="62">
          <cell r="D62" t="str">
            <v>AX4100003</v>
          </cell>
          <cell r="E62" t="str">
            <v>AUD</v>
          </cell>
          <cell r="F62" t="str">
            <v>RL</v>
          </cell>
          <cell r="G62">
            <v>45298</v>
          </cell>
          <cell r="J62" t="str">
            <v>List Price</v>
          </cell>
          <cell r="K62" t="str">
            <v>Quantity</v>
          </cell>
          <cell r="L62" t="str">
            <v>No</v>
          </cell>
        </row>
        <row r="63">
          <cell r="D63" t="str">
            <v>AZ832.250</v>
          </cell>
          <cell r="E63" t="str">
            <v>AUD</v>
          </cell>
          <cell r="F63" t="str">
            <v>RL</v>
          </cell>
          <cell r="G63">
            <v>45298</v>
          </cell>
          <cell r="J63" t="str">
            <v>List Price</v>
          </cell>
          <cell r="K63" t="str">
            <v>Quantity</v>
          </cell>
          <cell r="L63" t="str">
            <v>No</v>
          </cell>
        </row>
        <row r="64">
          <cell r="D64" t="str">
            <v>AZ832.760</v>
          </cell>
          <cell r="E64" t="str">
            <v>AUD</v>
          </cell>
          <cell r="F64" t="str">
            <v>EA</v>
          </cell>
          <cell r="G64">
            <v>45298</v>
          </cell>
          <cell r="J64" t="str">
            <v>List Price</v>
          </cell>
          <cell r="K64" t="str">
            <v>Quantity</v>
          </cell>
          <cell r="L64" t="str">
            <v>No</v>
          </cell>
        </row>
        <row r="65">
          <cell r="D65" t="str">
            <v>AZ931.760</v>
          </cell>
          <cell r="E65" t="str">
            <v>AUD</v>
          </cell>
          <cell r="F65" t="str">
            <v>EA</v>
          </cell>
          <cell r="G65">
            <v>45298</v>
          </cell>
          <cell r="J65" t="str">
            <v>List Price</v>
          </cell>
          <cell r="K65" t="str">
            <v>Quantity</v>
          </cell>
          <cell r="L65" t="str">
            <v>No</v>
          </cell>
        </row>
        <row r="66">
          <cell r="D66" t="str">
            <v>BC2480001B</v>
          </cell>
          <cell r="E66" t="str">
            <v>AUD</v>
          </cell>
          <cell r="F66" t="str">
            <v>EA</v>
          </cell>
          <cell r="G66">
            <v>45298</v>
          </cell>
          <cell r="J66" t="str">
            <v>List Price</v>
          </cell>
          <cell r="K66" t="str">
            <v>Quantity</v>
          </cell>
          <cell r="L66" t="str">
            <v>No</v>
          </cell>
        </row>
        <row r="67">
          <cell r="D67" t="str">
            <v>BC2510001B</v>
          </cell>
          <cell r="E67" t="str">
            <v>AUD</v>
          </cell>
          <cell r="F67" t="str">
            <v>EA</v>
          </cell>
          <cell r="G67">
            <v>45298</v>
          </cell>
          <cell r="J67" t="str">
            <v>List Price</v>
          </cell>
          <cell r="K67" t="str">
            <v>Quantity</v>
          </cell>
          <cell r="L67" t="str">
            <v>No</v>
          </cell>
        </row>
        <row r="68">
          <cell r="D68" t="str">
            <v>BC2570001B</v>
          </cell>
          <cell r="E68" t="str">
            <v>AUD</v>
          </cell>
          <cell r="F68" t="str">
            <v>EA</v>
          </cell>
          <cell r="G68">
            <v>45298</v>
          </cell>
          <cell r="J68" t="str">
            <v>List Price</v>
          </cell>
          <cell r="K68" t="str">
            <v>Quantity</v>
          </cell>
          <cell r="L68" t="str">
            <v>No</v>
          </cell>
        </row>
        <row r="69">
          <cell r="D69" t="str">
            <v>BC4630003</v>
          </cell>
          <cell r="E69" t="str">
            <v>AUD</v>
          </cell>
          <cell r="F69" t="str">
            <v>RL</v>
          </cell>
          <cell r="G69">
            <v>45298</v>
          </cell>
          <cell r="J69" t="str">
            <v>List Price</v>
          </cell>
          <cell r="K69" t="str">
            <v>Quantity</v>
          </cell>
          <cell r="L69" t="str">
            <v>No</v>
          </cell>
        </row>
        <row r="70">
          <cell r="D70" t="str">
            <v>BC4640004</v>
          </cell>
          <cell r="E70" t="str">
            <v>AUD</v>
          </cell>
          <cell r="F70" t="str">
            <v>RL</v>
          </cell>
          <cell r="G70">
            <v>45298</v>
          </cell>
          <cell r="J70" t="str">
            <v>List Price</v>
          </cell>
          <cell r="K70" t="str">
            <v>Quantity</v>
          </cell>
          <cell r="L70" t="str">
            <v>No</v>
          </cell>
        </row>
        <row r="71">
          <cell r="D71" t="str">
            <v>BC8750002</v>
          </cell>
          <cell r="E71" t="str">
            <v>AUD</v>
          </cell>
          <cell r="F71" t="str">
            <v>RL</v>
          </cell>
          <cell r="G71">
            <v>45298</v>
          </cell>
          <cell r="J71" t="str">
            <v>List Price</v>
          </cell>
          <cell r="K71" t="str">
            <v>Quantity</v>
          </cell>
          <cell r="L71" t="str">
            <v>No</v>
          </cell>
        </row>
        <row r="72">
          <cell r="D72" t="str">
            <v>BH2350002</v>
          </cell>
          <cell r="E72" t="str">
            <v>AUD</v>
          </cell>
          <cell r="F72" t="str">
            <v>RL</v>
          </cell>
          <cell r="G72">
            <v>45298</v>
          </cell>
          <cell r="J72" t="str">
            <v>List Price</v>
          </cell>
          <cell r="K72" t="str">
            <v>Quantity</v>
          </cell>
          <cell r="L72" t="str">
            <v>No</v>
          </cell>
        </row>
        <row r="73">
          <cell r="D73" t="str">
            <v>BI9470001</v>
          </cell>
          <cell r="E73" t="str">
            <v>AUD</v>
          </cell>
          <cell r="F73" t="str">
            <v>EA</v>
          </cell>
          <cell r="G73">
            <v>45298</v>
          </cell>
          <cell r="J73" t="str">
            <v>List Price</v>
          </cell>
          <cell r="K73" t="str">
            <v>Quantity</v>
          </cell>
          <cell r="L73" t="str">
            <v>No</v>
          </cell>
        </row>
        <row r="74">
          <cell r="D74" t="str">
            <v>BL4330001</v>
          </cell>
          <cell r="E74" t="str">
            <v>AUD</v>
          </cell>
          <cell r="F74" t="str">
            <v>RL</v>
          </cell>
          <cell r="G74">
            <v>45298</v>
          </cell>
          <cell r="J74" t="str">
            <v>List Price</v>
          </cell>
          <cell r="K74" t="str">
            <v>Quantity</v>
          </cell>
          <cell r="L74" t="str">
            <v>No</v>
          </cell>
        </row>
        <row r="75">
          <cell r="D75" t="str">
            <v>BL4330002</v>
          </cell>
          <cell r="E75" t="str">
            <v>AUD</v>
          </cell>
          <cell r="F75" t="str">
            <v>RL</v>
          </cell>
          <cell r="G75">
            <v>45298</v>
          </cell>
          <cell r="J75" t="str">
            <v>List Price</v>
          </cell>
          <cell r="K75" t="str">
            <v>Quantity</v>
          </cell>
          <cell r="L75" t="str">
            <v>No</v>
          </cell>
        </row>
        <row r="76">
          <cell r="D76" t="str">
            <v>BP2530001B</v>
          </cell>
          <cell r="E76" t="str">
            <v>AUD</v>
          </cell>
          <cell r="F76" t="str">
            <v>EA</v>
          </cell>
          <cell r="G76">
            <v>45298</v>
          </cell>
          <cell r="J76" t="str">
            <v>List Price</v>
          </cell>
          <cell r="K76" t="str">
            <v>Quantity</v>
          </cell>
          <cell r="L76" t="str">
            <v>No</v>
          </cell>
        </row>
        <row r="77">
          <cell r="D77" t="str">
            <v>BP6330001</v>
          </cell>
          <cell r="E77" t="str">
            <v>AUD</v>
          </cell>
          <cell r="F77" t="str">
            <v>BX</v>
          </cell>
          <cell r="G77">
            <v>45298</v>
          </cell>
          <cell r="J77" t="str">
            <v>List Price</v>
          </cell>
          <cell r="K77" t="str">
            <v>Quantity</v>
          </cell>
          <cell r="L77" t="str">
            <v>No</v>
          </cell>
        </row>
        <row r="78">
          <cell r="D78" t="str">
            <v>BP6340001</v>
          </cell>
          <cell r="E78" t="str">
            <v>AUD</v>
          </cell>
          <cell r="F78" t="str">
            <v>BX</v>
          </cell>
          <cell r="G78">
            <v>45298</v>
          </cell>
          <cell r="J78" t="str">
            <v>List Price</v>
          </cell>
          <cell r="K78" t="str">
            <v>Quantity</v>
          </cell>
          <cell r="L78" t="str">
            <v>No</v>
          </cell>
        </row>
        <row r="79">
          <cell r="D79" t="str">
            <v>BS4340004</v>
          </cell>
          <cell r="E79" t="str">
            <v>AUD</v>
          </cell>
          <cell r="F79" t="str">
            <v>RL</v>
          </cell>
          <cell r="G79">
            <v>45298</v>
          </cell>
          <cell r="J79" t="str">
            <v>List Price</v>
          </cell>
          <cell r="K79" t="str">
            <v>Quantity</v>
          </cell>
          <cell r="L79" t="str">
            <v>No</v>
          </cell>
        </row>
        <row r="80">
          <cell r="D80" t="str">
            <v>BS4340005</v>
          </cell>
          <cell r="E80" t="str">
            <v>AUD</v>
          </cell>
          <cell r="F80" t="str">
            <v>RL</v>
          </cell>
          <cell r="G80">
            <v>45298</v>
          </cell>
          <cell r="J80" t="str">
            <v>List Price</v>
          </cell>
          <cell r="K80" t="str">
            <v>Quantity</v>
          </cell>
          <cell r="L80" t="str">
            <v>No</v>
          </cell>
        </row>
        <row r="81">
          <cell r="D81" t="str">
            <v>BY3760007</v>
          </cell>
          <cell r="E81" t="str">
            <v>AUD</v>
          </cell>
          <cell r="F81" t="str">
            <v>RL</v>
          </cell>
          <cell r="G81">
            <v>45298</v>
          </cell>
          <cell r="J81" t="str">
            <v>List Price</v>
          </cell>
          <cell r="K81" t="str">
            <v>Quantity</v>
          </cell>
          <cell r="L81" t="str">
            <v>No</v>
          </cell>
        </row>
        <row r="82">
          <cell r="D82" t="str">
            <v>BY3760008</v>
          </cell>
          <cell r="E82" t="str">
            <v>AUD</v>
          </cell>
          <cell r="F82" t="str">
            <v>RL</v>
          </cell>
          <cell r="G82">
            <v>45298</v>
          </cell>
          <cell r="J82" t="str">
            <v>List Price</v>
          </cell>
          <cell r="K82" t="str">
            <v>Quantity</v>
          </cell>
          <cell r="L82" t="str">
            <v>No</v>
          </cell>
        </row>
        <row r="83">
          <cell r="D83" t="str">
            <v>CA3480002</v>
          </cell>
          <cell r="E83" t="str">
            <v>AUD</v>
          </cell>
          <cell r="F83" t="str">
            <v>BX</v>
          </cell>
          <cell r="G83">
            <v>45298</v>
          </cell>
          <cell r="J83" t="str">
            <v>List Price</v>
          </cell>
          <cell r="K83" t="str">
            <v>Quantity</v>
          </cell>
          <cell r="L83" t="str">
            <v>No</v>
          </cell>
        </row>
        <row r="84">
          <cell r="D84" t="str">
            <v>CA3750001B</v>
          </cell>
          <cell r="E84" t="str">
            <v>AUD</v>
          </cell>
          <cell r="F84" t="str">
            <v>BX</v>
          </cell>
          <cell r="G84">
            <v>45298</v>
          </cell>
          <cell r="J84" t="str">
            <v>List Price</v>
          </cell>
          <cell r="K84" t="str">
            <v>Quantity</v>
          </cell>
          <cell r="L84" t="str">
            <v>No</v>
          </cell>
        </row>
        <row r="85">
          <cell r="D85" t="str">
            <v>CA6420001</v>
          </cell>
          <cell r="E85" t="str">
            <v>AUD</v>
          </cell>
          <cell r="F85" t="str">
            <v>BX</v>
          </cell>
          <cell r="G85">
            <v>45298</v>
          </cell>
          <cell r="J85" t="str">
            <v>List Price</v>
          </cell>
          <cell r="K85" t="str">
            <v>Quantity</v>
          </cell>
          <cell r="L85" t="str">
            <v>No</v>
          </cell>
        </row>
        <row r="86">
          <cell r="D86" t="str">
            <v>CA6970001B</v>
          </cell>
          <cell r="E86" t="str">
            <v>AUD</v>
          </cell>
          <cell r="F86" t="str">
            <v>BX</v>
          </cell>
          <cell r="G86">
            <v>45298</v>
          </cell>
          <cell r="J86" t="str">
            <v>List Price</v>
          </cell>
          <cell r="K86" t="str">
            <v>Quantity</v>
          </cell>
          <cell r="L86" t="str">
            <v>No</v>
          </cell>
        </row>
        <row r="87">
          <cell r="D87" t="str">
            <v>CA8120002</v>
          </cell>
          <cell r="E87" t="str">
            <v>AUD</v>
          </cell>
          <cell r="F87" t="str">
            <v>BX</v>
          </cell>
          <cell r="G87">
            <v>45298</v>
          </cell>
          <cell r="J87" t="str">
            <v>List Price</v>
          </cell>
          <cell r="K87" t="str">
            <v>Quantity</v>
          </cell>
          <cell r="L87" t="str">
            <v>No</v>
          </cell>
        </row>
        <row r="88">
          <cell r="D88" t="str">
            <v>CA8140001</v>
          </cell>
          <cell r="E88" t="str">
            <v>AUD</v>
          </cell>
          <cell r="F88" t="str">
            <v>BX</v>
          </cell>
          <cell r="G88">
            <v>45298</v>
          </cell>
          <cell r="J88" t="str">
            <v>List Price</v>
          </cell>
          <cell r="K88" t="str">
            <v>Quantity</v>
          </cell>
          <cell r="L88" t="str">
            <v>No</v>
          </cell>
        </row>
        <row r="89">
          <cell r="D89" t="str">
            <v>CA9080002</v>
          </cell>
          <cell r="E89" t="str">
            <v>AUD</v>
          </cell>
          <cell r="F89" t="str">
            <v>BX</v>
          </cell>
          <cell r="G89">
            <v>45298</v>
          </cell>
          <cell r="J89" t="str">
            <v>List Price</v>
          </cell>
          <cell r="K89" t="str">
            <v>Quantity</v>
          </cell>
          <cell r="L89" t="str">
            <v>No</v>
          </cell>
        </row>
        <row r="90">
          <cell r="D90" t="str">
            <v>CA9090001</v>
          </cell>
          <cell r="E90" t="str">
            <v>AUD</v>
          </cell>
          <cell r="F90" t="str">
            <v>BX</v>
          </cell>
          <cell r="G90">
            <v>45298</v>
          </cell>
          <cell r="J90" t="str">
            <v>List Price</v>
          </cell>
          <cell r="K90" t="str">
            <v>Quantity</v>
          </cell>
          <cell r="L90" t="str">
            <v>No</v>
          </cell>
        </row>
        <row r="91">
          <cell r="D91" t="str">
            <v>CB3001</v>
          </cell>
          <cell r="E91" t="str">
            <v>AUD</v>
          </cell>
          <cell r="F91" t="str">
            <v>RL</v>
          </cell>
          <cell r="G91">
            <v>45298</v>
          </cell>
          <cell r="J91" t="str">
            <v>List Price</v>
          </cell>
          <cell r="K91" t="str">
            <v>Quantity</v>
          </cell>
          <cell r="L91" t="str">
            <v>No</v>
          </cell>
        </row>
        <row r="92">
          <cell r="D92" t="str">
            <v>CB3002</v>
          </cell>
          <cell r="E92" t="str">
            <v>AUD</v>
          </cell>
          <cell r="F92" t="str">
            <v>RL</v>
          </cell>
          <cell r="G92">
            <v>45298</v>
          </cell>
          <cell r="J92" t="str">
            <v>List Price</v>
          </cell>
          <cell r="K92" t="str">
            <v>Quantity</v>
          </cell>
          <cell r="L92" t="str">
            <v>No</v>
          </cell>
        </row>
        <row r="93">
          <cell r="D93" t="str">
            <v>CB3003</v>
          </cell>
          <cell r="E93" t="str">
            <v>AUD</v>
          </cell>
          <cell r="F93" t="str">
            <v>RL</v>
          </cell>
          <cell r="G93">
            <v>45298</v>
          </cell>
          <cell r="J93" t="str">
            <v>List Price</v>
          </cell>
          <cell r="K93" t="str">
            <v>Quantity</v>
          </cell>
          <cell r="L93" t="str">
            <v>No</v>
          </cell>
        </row>
        <row r="94">
          <cell r="D94" t="str">
            <v>CB3004</v>
          </cell>
          <cell r="E94" t="str">
            <v>AUD</v>
          </cell>
          <cell r="F94" t="str">
            <v>RL</v>
          </cell>
          <cell r="G94">
            <v>45298</v>
          </cell>
          <cell r="J94" t="str">
            <v>List Price</v>
          </cell>
          <cell r="K94" t="str">
            <v>Quantity</v>
          </cell>
          <cell r="L94" t="str">
            <v>No</v>
          </cell>
        </row>
        <row r="95">
          <cell r="D95" t="str">
            <v>CB4001</v>
          </cell>
          <cell r="E95" t="str">
            <v>AUD</v>
          </cell>
          <cell r="F95" t="str">
            <v>RL</v>
          </cell>
          <cell r="G95">
            <v>45298</v>
          </cell>
          <cell r="J95" t="str">
            <v>List Price</v>
          </cell>
          <cell r="K95" t="str">
            <v>Quantity</v>
          </cell>
          <cell r="L95" t="str">
            <v>No</v>
          </cell>
        </row>
        <row r="96">
          <cell r="D96" t="str">
            <v>CB4002</v>
          </cell>
          <cell r="E96" t="str">
            <v>AUD</v>
          </cell>
          <cell r="F96" t="str">
            <v>RL</v>
          </cell>
          <cell r="G96">
            <v>45298</v>
          </cell>
          <cell r="J96" t="str">
            <v>List Price</v>
          </cell>
          <cell r="K96" t="str">
            <v>Quantity</v>
          </cell>
          <cell r="L96" t="str">
            <v>No</v>
          </cell>
        </row>
        <row r="97">
          <cell r="D97" t="str">
            <v>CB4003</v>
          </cell>
          <cell r="E97" t="str">
            <v>AUD</v>
          </cell>
          <cell r="F97" t="str">
            <v>RL</v>
          </cell>
          <cell r="G97">
            <v>45298</v>
          </cell>
          <cell r="J97" t="str">
            <v>List Price</v>
          </cell>
          <cell r="K97" t="str">
            <v>Quantity</v>
          </cell>
          <cell r="L97" t="str">
            <v>No</v>
          </cell>
        </row>
        <row r="98">
          <cell r="D98" t="str">
            <v>CB4004</v>
          </cell>
          <cell r="E98" t="str">
            <v>AUD</v>
          </cell>
          <cell r="F98" t="str">
            <v>RL</v>
          </cell>
          <cell r="G98">
            <v>45298</v>
          </cell>
          <cell r="J98" t="str">
            <v>List Price</v>
          </cell>
          <cell r="K98" t="str">
            <v>Quantity</v>
          </cell>
          <cell r="L98" t="str">
            <v>No</v>
          </cell>
        </row>
        <row r="99">
          <cell r="D99" t="str">
            <v>CB4007</v>
          </cell>
          <cell r="E99" t="str">
            <v>AUD</v>
          </cell>
          <cell r="F99" t="str">
            <v>RL</v>
          </cell>
          <cell r="G99">
            <v>45298</v>
          </cell>
          <cell r="J99" t="str">
            <v>List Price</v>
          </cell>
          <cell r="K99" t="str">
            <v>Quantity</v>
          </cell>
          <cell r="L99" t="str">
            <v>No</v>
          </cell>
        </row>
        <row r="100">
          <cell r="D100" t="str">
            <v>CB4008</v>
          </cell>
          <cell r="E100" t="str">
            <v>AUD</v>
          </cell>
          <cell r="F100" t="str">
            <v>RL</v>
          </cell>
          <cell r="G100">
            <v>45298</v>
          </cell>
          <cell r="J100" t="str">
            <v>List Price</v>
          </cell>
          <cell r="K100" t="str">
            <v>Quantity</v>
          </cell>
          <cell r="L100" t="str">
            <v>No</v>
          </cell>
        </row>
        <row r="101">
          <cell r="D101" t="str">
            <v>CB4017</v>
          </cell>
          <cell r="E101" t="str">
            <v>AUD</v>
          </cell>
          <cell r="F101" t="str">
            <v>RL</v>
          </cell>
          <cell r="G101">
            <v>45298</v>
          </cell>
          <cell r="J101" t="str">
            <v>List Price</v>
          </cell>
          <cell r="K101" t="str">
            <v>Quantity</v>
          </cell>
          <cell r="L101" t="str">
            <v>No</v>
          </cell>
        </row>
        <row r="102">
          <cell r="D102" t="str">
            <v>CB4018</v>
          </cell>
          <cell r="E102" t="str">
            <v>AUD</v>
          </cell>
          <cell r="F102" t="str">
            <v>RL</v>
          </cell>
          <cell r="G102">
            <v>45298</v>
          </cell>
          <cell r="J102" t="str">
            <v>List Price</v>
          </cell>
          <cell r="K102" t="str">
            <v>Quantity</v>
          </cell>
          <cell r="L102" t="str">
            <v>No</v>
          </cell>
        </row>
        <row r="103">
          <cell r="D103" t="str">
            <v>CB4020</v>
          </cell>
          <cell r="E103" t="str">
            <v>AUD</v>
          </cell>
          <cell r="F103" t="str">
            <v>RL</v>
          </cell>
          <cell r="G103">
            <v>45298</v>
          </cell>
          <cell r="J103" t="str">
            <v>List Price</v>
          </cell>
          <cell r="K103" t="str">
            <v>Quantity</v>
          </cell>
          <cell r="L103" t="str">
            <v>No</v>
          </cell>
        </row>
        <row r="104">
          <cell r="D104" t="str">
            <v>CB4021</v>
          </cell>
          <cell r="E104" t="str">
            <v>AUD</v>
          </cell>
          <cell r="F104" t="str">
            <v>RL</v>
          </cell>
          <cell r="G104">
            <v>45298</v>
          </cell>
          <cell r="J104" t="str">
            <v>List Price</v>
          </cell>
          <cell r="K104" t="str">
            <v>Quantity</v>
          </cell>
          <cell r="L104" t="str">
            <v>No</v>
          </cell>
        </row>
        <row r="105">
          <cell r="D105" t="str">
            <v>CB4023</v>
          </cell>
          <cell r="E105" t="str">
            <v>AUD</v>
          </cell>
          <cell r="F105" t="str">
            <v>RL</v>
          </cell>
          <cell r="G105">
            <v>45298</v>
          </cell>
          <cell r="J105" t="str">
            <v>List Price</v>
          </cell>
          <cell r="K105" t="str">
            <v>Quantity</v>
          </cell>
          <cell r="L105" t="str">
            <v>No</v>
          </cell>
        </row>
        <row r="106">
          <cell r="D106" t="str">
            <v>CB4024</v>
          </cell>
          <cell r="E106" t="str">
            <v>AUD</v>
          </cell>
          <cell r="F106" t="str">
            <v>RL</v>
          </cell>
          <cell r="G106">
            <v>45298</v>
          </cell>
          <cell r="J106" t="str">
            <v>List Price</v>
          </cell>
          <cell r="K106" t="str">
            <v>Quantity</v>
          </cell>
          <cell r="L106" t="str">
            <v>No</v>
          </cell>
        </row>
        <row r="107">
          <cell r="D107" t="str">
            <v>CB4025</v>
          </cell>
          <cell r="E107" t="str">
            <v>AUD</v>
          </cell>
          <cell r="F107" t="str">
            <v>RL</v>
          </cell>
          <cell r="G107">
            <v>45298</v>
          </cell>
          <cell r="J107" t="str">
            <v>List Price</v>
          </cell>
          <cell r="K107" t="str">
            <v>Quantity</v>
          </cell>
          <cell r="L107" t="str">
            <v>No</v>
          </cell>
        </row>
        <row r="108">
          <cell r="D108" t="str">
            <v>CB4026</v>
          </cell>
          <cell r="E108" t="str">
            <v>AUD</v>
          </cell>
          <cell r="F108" t="str">
            <v>RL</v>
          </cell>
          <cell r="G108">
            <v>45298</v>
          </cell>
          <cell r="J108" t="str">
            <v>List Price</v>
          </cell>
          <cell r="K108" t="str">
            <v>Quantity</v>
          </cell>
          <cell r="L108" t="str">
            <v>No</v>
          </cell>
        </row>
        <row r="109">
          <cell r="D109" t="str">
            <v>CB4027</v>
          </cell>
          <cell r="E109" t="str">
            <v>AUD</v>
          </cell>
          <cell r="F109" t="str">
            <v>RL</v>
          </cell>
          <cell r="G109">
            <v>45298</v>
          </cell>
          <cell r="J109" t="str">
            <v>List Price</v>
          </cell>
          <cell r="K109" t="str">
            <v>Quantity</v>
          </cell>
          <cell r="L109" t="str">
            <v>No</v>
          </cell>
        </row>
        <row r="110">
          <cell r="D110" t="str">
            <v>CB4028</v>
          </cell>
          <cell r="E110" t="str">
            <v>AUD</v>
          </cell>
          <cell r="F110" t="str">
            <v>RL</v>
          </cell>
          <cell r="G110">
            <v>45298</v>
          </cell>
          <cell r="J110" t="str">
            <v>List Price</v>
          </cell>
          <cell r="K110" t="str">
            <v>Quantity</v>
          </cell>
          <cell r="L110" t="str">
            <v>No</v>
          </cell>
        </row>
        <row r="111">
          <cell r="D111" t="str">
            <v>CB5002</v>
          </cell>
          <cell r="E111" t="str">
            <v>AUD</v>
          </cell>
          <cell r="F111" t="str">
            <v>RL</v>
          </cell>
          <cell r="G111">
            <v>45298</v>
          </cell>
          <cell r="J111" t="str">
            <v>List Price</v>
          </cell>
          <cell r="K111" t="str">
            <v>Quantity</v>
          </cell>
          <cell r="L111" t="str">
            <v>No</v>
          </cell>
        </row>
        <row r="112">
          <cell r="D112" t="str">
            <v>CB5003</v>
          </cell>
          <cell r="E112" t="str">
            <v>AUD</v>
          </cell>
          <cell r="F112" t="str">
            <v>RL</v>
          </cell>
          <cell r="G112">
            <v>45298</v>
          </cell>
          <cell r="J112" t="str">
            <v>List Price</v>
          </cell>
          <cell r="K112" t="str">
            <v>Quantity</v>
          </cell>
          <cell r="L112" t="str">
            <v>No</v>
          </cell>
        </row>
        <row r="113">
          <cell r="D113" t="str">
            <v>CB5004</v>
          </cell>
          <cell r="E113" t="str">
            <v>AUD</v>
          </cell>
          <cell r="F113" t="str">
            <v>RL</v>
          </cell>
          <cell r="G113">
            <v>45298</v>
          </cell>
          <cell r="J113" t="str">
            <v>List Price</v>
          </cell>
          <cell r="K113" t="str">
            <v>Quantity</v>
          </cell>
          <cell r="L113" t="str">
            <v>No</v>
          </cell>
        </row>
        <row r="114">
          <cell r="D114" t="str">
            <v>CB5005</v>
          </cell>
          <cell r="E114" t="str">
            <v>AUD</v>
          </cell>
          <cell r="F114" t="str">
            <v>RL</v>
          </cell>
          <cell r="G114">
            <v>45298</v>
          </cell>
          <cell r="J114" t="str">
            <v>List Price</v>
          </cell>
          <cell r="K114" t="str">
            <v>Quantity</v>
          </cell>
          <cell r="L114" t="str">
            <v>No</v>
          </cell>
        </row>
        <row r="115">
          <cell r="D115" t="str">
            <v>CB5006</v>
          </cell>
          <cell r="E115" t="str">
            <v>AUD</v>
          </cell>
          <cell r="F115" t="str">
            <v>RL</v>
          </cell>
          <cell r="G115">
            <v>45298</v>
          </cell>
          <cell r="J115" t="str">
            <v>List Price</v>
          </cell>
          <cell r="K115" t="str">
            <v>Quantity</v>
          </cell>
          <cell r="L115" t="str">
            <v>No</v>
          </cell>
        </row>
        <row r="116">
          <cell r="D116" t="str">
            <v>CB5007</v>
          </cell>
          <cell r="E116" t="str">
            <v>AUD</v>
          </cell>
          <cell r="F116" t="str">
            <v>RL</v>
          </cell>
          <cell r="G116">
            <v>45298</v>
          </cell>
          <cell r="J116" t="str">
            <v>List Price</v>
          </cell>
          <cell r="K116" t="str">
            <v>Quantity</v>
          </cell>
          <cell r="L116" t="str">
            <v>No</v>
          </cell>
        </row>
        <row r="117">
          <cell r="D117" t="str">
            <v>CB5008</v>
          </cell>
          <cell r="E117" t="str">
            <v>AUD</v>
          </cell>
          <cell r="F117" t="str">
            <v>RL</v>
          </cell>
          <cell r="G117">
            <v>45298</v>
          </cell>
          <cell r="J117" t="str">
            <v>List Price</v>
          </cell>
          <cell r="K117" t="str">
            <v>Quantity</v>
          </cell>
          <cell r="L117" t="str">
            <v>No</v>
          </cell>
        </row>
        <row r="118">
          <cell r="D118" t="str">
            <v>CB5026</v>
          </cell>
          <cell r="E118" t="str">
            <v>AUD</v>
          </cell>
          <cell r="F118" t="str">
            <v>RL</v>
          </cell>
          <cell r="G118">
            <v>45298</v>
          </cell>
          <cell r="J118" t="str">
            <v>List Price</v>
          </cell>
          <cell r="K118" t="str">
            <v>Quantity</v>
          </cell>
          <cell r="L118" t="str">
            <v>No</v>
          </cell>
        </row>
        <row r="119">
          <cell r="D119" t="str">
            <v>CB5028</v>
          </cell>
          <cell r="E119" t="str">
            <v>AUD</v>
          </cell>
          <cell r="F119" t="str">
            <v>RL</v>
          </cell>
          <cell r="G119">
            <v>45298</v>
          </cell>
          <cell r="J119" t="str">
            <v>List Price</v>
          </cell>
          <cell r="K119" t="str">
            <v>Quantity</v>
          </cell>
          <cell r="L119" t="str">
            <v>No</v>
          </cell>
        </row>
        <row r="120">
          <cell r="D120" t="str">
            <v>CB5030</v>
          </cell>
          <cell r="E120" t="str">
            <v>AUD</v>
          </cell>
          <cell r="F120" t="str">
            <v>RL</v>
          </cell>
          <cell r="G120">
            <v>45298</v>
          </cell>
          <cell r="J120" t="str">
            <v>List Price</v>
          </cell>
          <cell r="K120" t="str">
            <v>Quantity</v>
          </cell>
          <cell r="L120" t="str">
            <v>No</v>
          </cell>
        </row>
        <row r="121">
          <cell r="D121" t="str">
            <v>CB5032</v>
          </cell>
          <cell r="E121" t="str">
            <v>AUD</v>
          </cell>
          <cell r="F121" t="str">
            <v>RL</v>
          </cell>
          <cell r="G121">
            <v>45298</v>
          </cell>
          <cell r="J121" t="str">
            <v>List Price</v>
          </cell>
          <cell r="K121" t="str">
            <v>Quantity</v>
          </cell>
          <cell r="L121" t="str">
            <v>No</v>
          </cell>
        </row>
        <row r="122">
          <cell r="D122" t="str">
            <v>CB7920002</v>
          </cell>
          <cell r="E122" t="str">
            <v>AUD</v>
          </cell>
          <cell r="F122" t="str">
            <v>RL</v>
          </cell>
          <cell r="G122">
            <v>45298</v>
          </cell>
          <cell r="J122" t="str">
            <v>List Price</v>
          </cell>
          <cell r="K122" t="str">
            <v>Quantity</v>
          </cell>
          <cell r="L122" t="str">
            <v>No</v>
          </cell>
        </row>
        <row r="123">
          <cell r="D123" t="str">
            <v>CB8490008</v>
          </cell>
          <cell r="E123" t="str">
            <v>AUD</v>
          </cell>
          <cell r="F123" t="str">
            <v>RL</v>
          </cell>
          <cell r="G123">
            <v>45298</v>
          </cell>
          <cell r="J123" t="str">
            <v>List Price</v>
          </cell>
          <cell r="K123" t="str">
            <v>Quantity</v>
          </cell>
          <cell r="L123" t="str">
            <v>No</v>
          </cell>
        </row>
        <row r="124">
          <cell r="D124" t="str">
            <v>CB8660262</v>
          </cell>
          <cell r="E124" t="str">
            <v>AUD</v>
          </cell>
          <cell r="F124" t="str">
            <v>RL</v>
          </cell>
          <cell r="G124">
            <v>45298</v>
          </cell>
          <cell r="J124" t="str">
            <v>List Price</v>
          </cell>
          <cell r="K124" t="str">
            <v>Quantity</v>
          </cell>
          <cell r="L124" t="str">
            <v>No</v>
          </cell>
        </row>
        <row r="125">
          <cell r="D125" t="str">
            <v>CB8690002</v>
          </cell>
          <cell r="E125" t="str">
            <v>AUD</v>
          </cell>
          <cell r="F125" t="str">
            <v>RL</v>
          </cell>
          <cell r="G125">
            <v>45298</v>
          </cell>
          <cell r="J125" t="str">
            <v>List Price</v>
          </cell>
          <cell r="K125" t="str">
            <v>Quantity</v>
          </cell>
          <cell r="L125" t="str">
            <v>No</v>
          </cell>
        </row>
        <row r="126">
          <cell r="D126" t="str">
            <v>CD1060007</v>
          </cell>
          <cell r="E126" t="str">
            <v>AUD</v>
          </cell>
          <cell r="F126" t="str">
            <v>RL</v>
          </cell>
          <cell r="G126">
            <v>45298</v>
          </cell>
          <cell r="J126" t="str">
            <v>List Price</v>
          </cell>
          <cell r="K126" t="str">
            <v>Quantity</v>
          </cell>
          <cell r="L126" t="str">
            <v>No</v>
          </cell>
        </row>
        <row r="127">
          <cell r="D127" t="str">
            <v>CE3370264</v>
          </cell>
          <cell r="E127" t="str">
            <v>AUD</v>
          </cell>
          <cell r="F127" t="str">
            <v>RL</v>
          </cell>
          <cell r="G127">
            <v>45298</v>
          </cell>
          <cell r="J127" t="str">
            <v>List Price</v>
          </cell>
          <cell r="K127" t="str">
            <v>Quantity</v>
          </cell>
          <cell r="L127" t="str">
            <v>No</v>
          </cell>
        </row>
        <row r="128">
          <cell r="D128" t="str">
            <v>CE3380004</v>
          </cell>
          <cell r="E128" t="str">
            <v>AUD</v>
          </cell>
          <cell r="F128" t="str">
            <v>RL</v>
          </cell>
          <cell r="G128">
            <v>45298</v>
          </cell>
          <cell r="J128" t="str">
            <v>List Price</v>
          </cell>
          <cell r="K128" t="str">
            <v>Quantity</v>
          </cell>
          <cell r="L128" t="str">
            <v>No</v>
          </cell>
        </row>
        <row r="129">
          <cell r="D129" t="str">
            <v>CE3430005</v>
          </cell>
          <cell r="E129" t="str">
            <v>AUD</v>
          </cell>
          <cell r="F129" t="str">
            <v>RL</v>
          </cell>
          <cell r="G129">
            <v>45298</v>
          </cell>
          <cell r="J129" t="str">
            <v>List Price</v>
          </cell>
          <cell r="K129" t="str">
            <v>Quantity</v>
          </cell>
          <cell r="L129" t="str">
            <v>No</v>
          </cell>
        </row>
        <row r="130">
          <cell r="D130" t="str">
            <v>CE3430006</v>
          </cell>
          <cell r="E130" t="str">
            <v>AUD</v>
          </cell>
          <cell r="F130" t="str">
            <v>RL</v>
          </cell>
          <cell r="G130">
            <v>45298</v>
          </cell>
          <cell r="J130" t="str">
            <v>List Price</v>
          </cell>
          <cell r="K130" t="str">
            <v>Quantity</v>
          </cell>
          <cell r="L130" t="str">
            <v>No</v>
          </cell>
        </row>
        <row r="131">
          <cell r="D131" t="str">
            <v>CE3600012</v>
          </cell>
          <cell r="E131" t="str">
            <v>AUD</v>
          </cell>
          <cell r="F131" t="str">
            <v>RL</v>
          </cell>
          <cell r="G131">
            <v>45298</v>
          </cell>
          <cell r="J131" t="str">
            <v>List Price</v>
          </cell>
          <cell r="K131" t="str">
            <v>Quantity</v>
          </cell>
          <cell r="L131" t="str">
            <v>No</v>
          </cell>
        </row>
        <row r="132">
          <cell r="D132" t="str">
            <v>CE3600013</v>
          </cell>
          <cell r="E132" t="str">
            <v>AUD</v>
          </cell>
          <cell r="F132" t="str">
            <v>RL</v>
          </cell>
          <cell r="G132">
            <v>45298</v>
          </cell>
          <cell r="J132" t="str">
            <v>List Price</v>
          </cell>
          <cell r="K132" t="str">
            <v>Quantity</v>
          </cell>
          <cell r="L132" t="str">
            <v>No</v>
          </cell>
        </row>
        <row r="133">
          <cell r="D133" t="str">
            <v>CE3610008</v>
          </cell>
          <cell r="E133" t="str">
            <v>AUD</v>
          </cell>
          <cell r="F133" t="str">
            <v>RL</v>
          </cell>
          <cell r="G133">
            <v>45298</v>
          </cell>
          <cell r="J133" t="str">
            <v>List Price</v>
          </cell>
          <cell r="K133" t="str">
            <v>Quantity</v>
          </cell>
          <cell r="L133" t="str">
            <v>No</v>
          </cell>
        </row>
        <row r="134">
          <cell r="D134" t="str">
            <v>CE3610009</v>
          </cell>
          <cell r="E134" t="str">
            <v>AUD</v>
          </cell>
          <cell r="F134" t="str">
            <v>RL</v>
          </cell>
          <cell r="G134">
            <v>45298</v>
          </cell>
          <cell r="J134" t="str">
            <v>List Price</v>
          </cell>
          <cell r="K134" t="str">
            <v>Quantity</v>
          </cell>
          <cell r="L134" t="str">
            <v>No</v>
          </cell>
        </row>
        <row r="135">
          <cell r="D135" t="str">
            <v>CE581.760</v>
          </cell>
          <cell r="E135" t="str">
            <v>AUD</v>
          </cell>
          <cell r="F135" t="str">
            <v>EA</v>
          </cell>
          <cell r="G135">
            <v>45298</v>
          </cell>
          <cell r="J135" t="str">
            <v>List Price</v>
          </cell>
          <cell r="K135" t="str">
            <v>Quantity</v>
          </cell>
          <cell r="L135" t="str">
            <v>No</v>
          </cell>
        </row>
        <row r="136">
          <cell r="D136" t="str">
            <v>CE5810001</v>
          </cell>
          <cell r="E136" t="str">
            <v>AUD</v>
          </cell>
          <cell r="F136" t="str">
            <v>RL</v>
          </cell>
          <cell r="G136">
            <v>45298</v>
          </cell>
          <cell r="J136" t="str">
            <v>List Price</v>
          </cell>
          <cell r="K136" t="str">
            <v>Quantity</v>
          </cell>
          <cell r="L136" t="str">
            <v>No</v>
          </cell>
        </row>
        <row r="137">
          <cell r="D137" t="str">
            <v>CE589.760</v>
          </cell>
          <cell r="E137" t="str">
            <v>AUD</v>
          </cell>
          <cell r="F137" t="str">
            <v>EA</v>
          </cell>
          <cell r="G137">
            <v>45298</v>
          </cell>
          <cell r="J137" t="str">
            <v>List Price</v>
          </cell>
          <cell r="K137" t="str">
            <v>Quantity</v>
          </cell>
          <cell r="L137" t="str">
            <v>No</v>
          </cell>
        </row>
        <row r="138">
          <cell r="D138" t="str">
            <v>CE604.760</v>
          </cell>
          <cell r="E138" t="str">
            <v>AUD</v>
          </cell>
          <cell r="F138" t="str">
            <v>EA</v>
          </cell>
          <cell r="G138">
            <v>45298</v>
          </cell>
          <cell r="J138" t="str">
            <v>List Price</v>
          </cell>
          <cell r="K138" t="str">
            <v>Quantity</v>
          </cell>
          <cell r="L138" t="str">
            <v>No</v>
          </cell>
        </row>
        <row r="139">
          <cell r="D139" t="str">
            <v>CE6040001</v>
          </cell>
          <cell r="E139" t="str">
            <v>AUD</v>
          </cell>
          <cell r="F139" t="str">
            <v>RL</v>
          </cell>
          <cell r="G139">
            <v>45298</v>
          </cell>
          <cell r="J139" t="str">
            <v>List Price</v>
          </cell>
          <cell r="K139" t="str">
            <v>Quantity</v>
          </cell>
          <cell r="L139" t="str">
            <v>No</v>
          </cell>
        </row>
        <row r="140">
          <cell r="D140" t="str">
            <v>CG8470002</v>
          </cell>
          <cell r="E140" t="str">
            <v>AUD</v>
          </cell>
          <cell r="F140" t="str">
            <v>RL</v>
          </cell>
          <cell r="G140">
            <v>45298</v>
          </cell>
          <cell r="J140" t="str">
            <v>List Price</v>
          </cell>
          <cell r="K140" t="str">
            <v>Quantity</v>
          </cell>
          <cell r="L140" t="str">
            <v>No</v>
          </cell>
        </row>
        <row r="141">
          <cell r="D141" t="str">
            <v>DB0023</v>
          </cell>
          <cell r="E141" t="str">
            <v>AUD</v>
          </cell>
          <cell r="F141" t="str">
            <v>RL</v>
          </cell>
          <cell r="G141">
            <v>45298</v>
          </cell>
          <cell r="J141" t="str">
            <v>List Price</v>
          </cell>
          <cell r="K141" t="str">
            <v>Quantity</v>
          </cell>
          <cell r="L141" t="str">
            <v>No</v>
          </cell>
        </row>
        <row r="142">
          <cell r="D142" t="str">
            <v>DB0045</v>
          </cell>
          <cell r="E142" t="str">
            <v>AUD</v>
          </cell>
          <cell r="F142" t="str">
            <v>RL</v>
          </cell>
          <cell r="G142">
            <v>45298</v>
          </cell>
          <cell r="J142" t="str">
            <v>List Price</v>
          </cell>
          <cell r="K142" t="str">
            <v>Quantity</v>
          </cell>
          <cell r="L142" t="str">
            <v>No</v>
          </cell>
        </row>
        <row r="143">
          <cell r="D143" t="str">
            <v>DB0069</v>
          </cell>
          <cell r="E143" t="str">
            <v>AUD</v>
          </cell>
          <cell r="F143" t="str">
            <v>RL</v>
          </cell>
          <cell r="G143">
            <v>45298</v>
          </cell>
          <cell r="J143" t="str">
            <v>List Price</v>
          </cell>
          <cell r="K143" t="str">
            <v>Quantity</v>
          </cell>
          <cell r="L143" t="str">
            <v>No</v>
          </cell>
        </row>
        <row r="144">
          <cell r="D144" t="str">
            <v>DB0108</v>
          </cell>
          <cell r="E144" t="str">
            <v>AUD</v>
          </cell>
          <cell r="F144" t="str">
            <v>RL</v>
          </cell>
          <cell r="G144">
            <v>45298</v>
          </cell>
          <cell r="J144" t="str">
            <v>List Price</v>
          </cell>
          <cell r="K144" t="str">
            <v>Quantity</v>
          </cell>
          <cell r="L144" t="str">
            <v>No</v>
          </cell>
        </row>
        <row r="145">
          <cell r="D145" t="str">
            <v>DB0158</v>
          </cell>
          <cell r="E145" t="str">
            <v>AUD</v>
          </cell>
          <cell r="F145" t="str">
            <v>RL</v>
          </cell>
          <cell r="G145">
            <v>45298</v>
          </cell>
          <cell r="J145" t="str">
            <v>List Price</v>
          </cell>
          <cell r="K145" t="str">
            <v>Quantity</v>
          </cell>
          <cell r="L145" t="str">
            <v>No</v>
          </cell>
        </row>
        <row r="146">
          <cell r="D146" t="str">
            <v>DB8003</v>
          </cell>
          <cell r="E146" t="str">
            <v>AUD</v>
          </cell>
          <cell r="F146" t="str">
            <v>RL</v>
          </cell>
          <cell r="G146">
            <v>45298</v>
          </cell>
          <cell r="J146" t="str">
            <v>List Price</v>
          </cell>
          <cell r="K146" t="str">
            <v>Quantity</v>
          </cell>
          <cell r="L146" t="str">
            <v>No</v>
          </cell>
        </row>
        <row r="147">
          <cell r="D147" t="str">
            <v>DB8004</v>
          </cell>
          <cell r="E147" t="str">
            <v>AUD</v>
          </cell>
          <cell r="F147" t="str">
            <v>RL</v>
          </cell>
          <cell r="G147">
            <v>45298</v>
          </cell>
          <cell r="J147" t="str">
            <v>List Price</v>
          </cell>
          <cell r="K147" t="str">
            <v>Quantity</v>
          </cell>
          <cell r="L147" t="str">
            <v>No</v>
          </cell>
        </row>
        <row r="148">
          <cell r="D148" t="str">
            <v>DB8248</v>
          </cell>
          <cell r="E148" t="str">
            <v>AUD</v>
          </cell>
          <cell r="F148" t="str">
            <v>RL</v>
          </cell>
          <cell r="G148">
            <v>45298</v>
          </cell>
          <cell r="J148" t="str">
            <v>List Price</v>
          </cell>
          <cell r="K148" t="str">
            <v>Quantity</v>
          </cell>
          <cell r="L148" t="str">
            <v>No</v>
          </cell>
        </row>
        <row r="149">
          <cell r="D149" t="str">
            <v>DB8405</v>
          </cell>
          <cell r="E149" t="str">
            <v>AUD</v>
          </cell>
          <cell r="F149" t="str">
            <v>RL</v>
          </cell>
          <cell r="G149">
            <v>45298</v>
          </cell>
          <cell r="J149" t="str">
            <v>List Price</v>
          </cell>
          <cell r="K149" t="str">
            <v>Quantity</v>
          </cell>
          <cell r="L149" t="str">
            <v>No</v>
          </cell>
        </row>
        <row r="150">
          <cell r="D150" t="str">
            <v>DB8448</v>
          </cell>
          <cell r="E150" t="str">
            <v>AUD</v>
          </cell>
          <cell r="F150" t="str">
            <v>RL</v>
          </cell>
          <cell r="G150">
            <v>45298</v>
          </cell>
          <cell r="J150" t="str">
            <v>List Price</v>
          </cell>
          <cell r="K150" t="str">
            <v>Quantity</v>
          </cell>
          <cell r="L150" t="str">
            <v>No</v>
          </cell>
        </row>
        <row r="151">
          <cell r="D151" t="str">
            <v>DB8450</v>
          </cell>
          <cell r="E151" t="str">
            <v>AUD</v>
          </cell>
          <cell r="F151" t="str">
            <v>RL</v>
          </cell>
          <cell r="G151">
            <v>45298</v>
          </cell>
          <cell r="J151" t="str">
            <v>List Price</v>
          </cell>
          <cell r="K151" t="str">
            <v>Quantity</v>
          </cell>
          <cell r="L151" t="str">
            <v>No</v>
          </cell>
        </row>
        <row r="152">
          <cell r="D152" t="str">
            <v>DB8482</v>
          </cell>
          <cell r="E152" t="str">
            <v>AUD</v>
          </cell>
          <cell r="F152" t="str">
            <v>RL</v>
          </cell>
          <cell r="G152">
            <v>45298</v>
          </cell>
          <cell r="J152" t="str">
            <v>List Price</v>
          </cell>
          <cell r="K152" t="str">
            <v>Quantity</v>
          </cell>
          <cell r="L152" t="str">
            <v>No</v>
          </cell>
        </row>
        <row r="153">
          <cell r="D153" t="str">
            <v>DB8523</v>
          </cell>
          <cell r="E153" t="str">
            <v>AUD</v>
          </cell>
          <cell r="F153" t="str">
            <v>RL</v>
          </cell>
          <cell r="G153">
            <v>45298</v>
          </cell>
          <cell r="J153" t="str">
            <v>List Price</v>
          </cell>
          <cell r="K153" t="str">
            <v>Quantity</v>
          </cell>
          <cell r="L153" t="str">
            <v>No</v>
          </cell>
        </row>
        <row r="154">
          <cell r="D154" t="str">
            <v>DD0158</v>
          </cell>
          <cell r="E154" t="str">
            <v>AUD</v>
          </cell>
          <cell r="F154" t="str">
            <v>RL</v>
          </cell>
          <cell r="G154">
            <v>45298</v>
          </cell>
          <cell r="J154" t="str">
            <v>List Price</v>
          </cell>
          <cell r="K154" t="str">
            <v>Quantity</v>
          </cell>
          <cell r="L154" t="str">
            <v>No</v>
          </cell>
        </row>
        <row r="155">
          <cell r="D155" t="str">
            <v>DD8482</v>
          </cell>
          <cell r="E155" t="str">
            <v>AUD</v>
          </cell>
          <cell r="F155" t="str">
            <v>RL</v>
          </cell>
          <cell r="G155">
            <v>45298</v>
          </cell>
          <cell r="J155" t="str">
            <v>List Price</v>
          </cell>
          <cell r="K155" t="str">
            <v>Quantity</v>
          </cell>
          <cell r="L155" t="str">
            <v>No</v>
          </cell>
        </row>
        <row r="156">
          <cell r="D156" t="str">
            <v>EZ0001Y</v>
          </cell>
          <cell r="E156" t="str">
            <v>AUD</v>
          </cell>
          <cell r="F156" t="str">
            <v>RL</v>
          </cell>
          <cell r="G156">
            <v>45298</v>
          </cell>
          <cell r="J156" t="str">
            <v>List Price</v>
          </cell>
          <cell r="K156" t="str">
            <v>Quantity</v>
          </cell>
          <cell r="L156" t="str">
            <v>No</v>
          </cell>
        </row>
        <row r="157">
          <cell r="D157" t="str">
            <v>EZ0001Y.1000.760</v>
          </cell>
          <cell r="E157" t="str">
            <v>AUD</v>
          </cell>
          <cell r="F157" t="str">
            <v>EA</v>
          </cell>
          <cell r="G157">
            <v>45298</v>
          </cell>
          <cell r="J157" t="str">
            <v>List Price</v>
          </cell>
          <cell r="K157" t="str">
            <v>Quantity</v>
          </cell>
          <cell r="L157" t="str">
            <v>No</v>
          </cell>
        </row>
        <row r="158">
          <cell r="D158" t="str">
            <v>EZ0001Y.250.250</v>
          </cell>
          <cell r="E158" t="str">
            <v>AUD</v>
          </cell>
          <cell r="F158" t="str">
            <v>RL</v>
          </cell>
          <cell r="G158">
            <v>45298</v>
          </cell>
          <cell r="J158" t="str">
            <v>List Price</v>
          </cell>
          <cell r="K158" t="str">
            <v>Quantity</v>
          </cell>
          <cell r="L158" t="str">
            <v>No</v>
          </cell>
        </row>
        <row r="159">
          <cell r="D159" t="str">
            <v>EZ0003Y</v>
          </cell>
          <cell r="E159" t="str">
            <v>AUD</v>
          </cell>
          <cell r="F159" t="str">
            <v>RL</v>
          </cell>
          <cell r="G159">
            <v>45298</v>
          </cell>
          <cell r="J159" t="str">
            <v>List Price</v>
          </cell>
          <cell r="K159" t="str">
            <v>Quantity</v>
          </cell>
          <cell r="L159" t="str">
            <v>No</v>
          </cell>
        </row>
        <row r="160">
          <cell r="D160" t="str">
            <v>EZ0003Y.1000.760</v>
          </cell>
          <cell r="E160" t="str">
            <v>AUD</v>
          </cell>
          <cell r="F160" t="str">
            <v>EA</v>
          </cell>
          <cell r="G160">
            <v>45298</v>
          </cell>
          <cell r="J160" t="str">
            <v>List Price</v>
          </cell>
          <cell r="K160" t="str">
            <v>Quantity</v>
          </cell>
          <cell r="L160" t="str">
            <v>No</v>
          </cell>
        </row>
        <row r="161">
          <cell r="D161" t="str">
            <v>M22226</v>
          </cell>
          <cell r="E161" t="str">
            <v>AUD</v>
          </cell>
          <cell r="F161" t="str">
            <v>EA</v>
          </cell>
          <cell r="G161">
            <v>45298</v>
          </cell>
          <cell r="J161" t="str">
            <v>List Price</v>
          </cell>
          <cell r="K161" t="str">
            <v>Quantity</v>
          </cell>
          <cell r="L161" t="str">
            <v>No</v>
          </cell>
        </row>
        <row r="162">
          <cell r="D162" t="str">
            <v>M22425</v>
          </cell>
          <cell r="E162" t="str">
            <v>AUD</v>
          </cell>
          <cell r="F162" t="str">
            <v>EA</v>
          </cell>
          <cell r="G162">
            <v>45298</v>
          </cell>
          <cell r="J162" t="str">
            <v>List Price</v>
          </cell>
          <cell r="K162" t="str">
            <v>Quantity</v>
          </cell>
          <cell r="L162" t="str">
            <v>No</v>
          </cell>
        </row>
        <row r="163">
          <cell r="D163" t="str">
            <v>M845703GR</v>
          </cell>
          <cell r="E163" t="str">
            <v>AUD</v>
          </cell>
          <cell r="F163" t="str">
            <v>RL</v>
          </cell>
          <cell r="G163">
            <v>45298</v>
          </cell>
          <cell r="J163" t="str">
            <v>List Price</v>
          </cell>
          <cell r="K163" t="str">
            <v>Quantity</v>
          </cell>
          <cell r="L163" t="str">
            <v>No</v>
          </cell>
        </row>
        <row r="164">
          <cell r="D164" t="str">
            <v>MDB0022</v>
          </cell>
          <cell r="E164" t="str">
            <v>AUD</v>
          </cell>
          <cell r="F164" t="str">
            <v>RL</v>
          </cell>
          <cell r="G164">
            <v>45298</v>
          </cell>
          <cell r="J164" t="str">
            <v>List Price</v>
          </cell>
          <cell r="K164" t="str">
            <v>Quantity</v>
          </cell>
          <cell r="L164" t="str">
            <v>No</v>
          </cell>
        </row>
        <row r="165">
          <cell r="D165" t="str">
            <v>MDB0026</v>
          </cell>
          <cell r="E165" t="str">
            <v>AUD</v>
          </cell>
          <cell r="F165" t="str">
            <v>RL</v>
          </cell>
          <cell r="G165">
            <v>45298</v>
          </cell>
          <cell r="J165" t="str">
            <v>List Price</v>
          </cell>
          <cell r="K165" t="str">
            <v>Quantity</v>
          </cell>
          <cell r="L165" t="str">
            <v>No</v>
          </cell>
        </row>
        <row r="166">
          <cell r="D166" t="str">
            <v>MDB0033</v>
          </cell>
          <cell r="E166" t="str">
            <v>AUD</v>
          </cell>
          <cell r="F166" t="str">
            <v>RL</v>
          </cell>
          <cell r="G166">
            <v>45298</v>
          </cell>
          <cell r="J166" t="str">
            <v>List Price</v>
          </cell>
          <cell r="K166" t="str">
            <v>Quantity</v>
          </cell>
          <cell r="L166" t="str">
            <v>No</v>
          </cell>
        </row>
        <row r="167">
          <cell r="D167" t="str">
            <v>MDB0035</v>
          </cell>
          <cell r="E167" t="str">
            <v>AUD</v>
          </cell>
          <cell r="F167" t="str">
            <v>RL</v>
          </cell>
          <cell r="G167">
            <v>45298</v>
          </cell>
          <cell r="J167" t="str">
            <v>List Price</v>
          </cell>
          <cell r="K167" t="str">
            <v>Quantity</v>
          </cell>
          <cell r="L167" t="str">
            <v>No</v>
          </cell>
        </row>
        <row r="168">
          <cell r="D168" t="str">
            <v>MDB0042</v>
          </cell>
          <cell r="E168" t="str">
            <v>AUD</v>
          </cell>
          <cell r="F168" t="str">
            <v>RL</v>
          </cell>
          <cell r="G168">
            <v>45298</v>
          </cell>
          <cell r="J168" t="str">
            <v>List Price</v>
          </cell>
          <cell r="K168" t="str">
            <v>Quantity</v>
          </cell>
          <cell r="L168" t="str">
            <v>No</v>
          </cell>
        </row>
        <row r="169">
          <cell r="D169" t="str">
            <v>ME00306</v>
          </cell>
          <cell r="E169" t="str">
            <v>AUD</v>
          </cell>
          <cell r="F169" t="str">
            <v>RL</v>
          </cell>
          <cell r="G169">
            <v>45298</v>
          </cell>
          <cell r="J169" t="str">
            <v>List Price</v>
          </cell>
          <cell r="K169" t="str">
            <v>Quantity</v>
          </cell>
          <cell r="L169" t="str">
            <v>No</v>
          </cell>
        </row>
        <row r="170">
          <cell r="D170" t="str">
            <v>MF10040</v>
          </cell>
          <cell r="E170" t="str">
            <v>AUD</v>
          </cell>
          <cell r="F170" t="str">
            <v>RL</v>
          </cell>
          <cell r="G170">
            <v>45298</v>
          </cell>
          <cell r="J170" t="str">
            <v>List Price</v>
          </cell>
          <cell r="K170" t="str">
            <v>Quantity</v>
          </cell>
          <cell r="L170" t="str">
            <v>No</v>
          </cell>
        </row>
        <row r="171">
          <cell r="D171" t="str">
            <v>MF10051</v>
          </cell>
          <cell r="E171" t="str">
            <v>AUD</v>
          </cell>
          <cell r="F171" t="str">
            <v>RL</v>
          </cell>
          <cell r="G171">
            <v>45298</v>
          </cell>
          <cell r="J171" t="str">
            <v>List Price</v>
          </cell>
          <cell r="K171" t="str">
            <v>Quantity</v>
          </cell>
          <cell r="L171" t="str">
            <v>No</v>
          </cell>
        </row>
        <row r="172">
          <cell r="D172" t="str">
            <v>MF10053</v>
          </cell>
          <cell r="E172" t="str">
            <v>AUD</v>
          </cell>
          <cell r="F172" t="str">
            <v>RL</v>
          </cell>
          <cell r="G172">
            <v>45298</v>
          </cell>
          <cell r="J172" t="str">
            <v>List Price</v>
          </cell>
          <cell r="K172" t="str">
            <v>Quantity</v>
          </cell>
          <cell r="L172" t="str">
            <v>No</v>
          </cell>
        </row>
        <row r="173">
          <cell r="D173" t="str">
            <v>MF10055</v>
          </cell>
          <cell r="E173" t="str">
            <v>AUD</v>
          </cell>
          <cell r="F173" t="str">
            <v>RL</v>
          </cell>
          <cell r="G173">
            <v>45298</v>
          </cell>
          <cell r="J173" t="str">
            <v>List Price</v>
          </cell>
          <cell r="K173" t="str">
            <v>Quantity</v>
          </cell>
          <cell r="L173" t="str">
            <v>No</v>
          </cell>
        </row>
        <row r="174">
          <cell r="D174" t="str">
            <v>MF20012</v>
          </cell>
          <cell r="E174" t="str">
            <v>AUD</v>
          </cell>
          <cell r="F174" t="str">
            <v>RL</v>
          </cell>
          <cell r="G174">
            <v>45298</v>
          </cell>
          <cell r="J174" t="str">
            <v>List Price</v>
          </cell>
          <cell r="K174" t="str">
            <v>Quantity</v>
          </cell>
          <cell r="L174" t="str">
            <v>No</v>
          </cell>
        </row>
        <row r="175">
          <cell r="D175" t="str">
            <v>MF20024</v>
          </cell>
          <cell r="E175" t="str">
            <v>AUD</v>
          </cell>
          <cell r="F175" t="str">
            <v>RL</v>
          </cell>
          <cell r="G175">
            <v>45298</v>
          </cell>
          <cell r="J175" t="str">
            <v>List Price</v>
          </cell>
          <cell r="K175" t="str">
            <v>Quantity</v>
          </cell>
          <cell r="L175" t="str">
            <v>No</v>
          </cell>
        </row>
        <row r="176">
          <cell r="D176" t="str">
            <v>MF20027</v>
          </cell>
          <cell r="E176" t="str">
            <v>AUD</v>
          </cell>
          <cell r="F176" t="str">
            <v>RL</v>
          </cell>
          <cell r="G176">
            <v>45298</v>
          </cell>
          <cell r="J176" t="str">
            <v>List Price</v>
          </cell>
          <cell r="K176" t="str">
            <v>Quantity</v>
          </cell>
          <cell r="L176" t="str">
            <v>No</v>
          </cell>
        </row>
        <row r="177">
          <cell r="D177" t="str">
            <v>MF20052</v>
          </cell>
          <cell r="E177" t="str">
            <v>AUD</v>
          </cell>
          <cell r="F177" t="str">
            <v>RL</v>
          </cell>
          <cell r="G177">
            <v>45298</v>
          </cell>
          <cell r="J177" t="str">
            <v>List Price</v>
          </cell>
          <cell r="K177" t="str">
            <v>Quantity</v>
          </cell>
          <cell r="L177" t="str">
            <v>No</v>
          </cell>
        </row>
        <row r="178">
          <cell r="D178" t="str">
            <v>MF20053</v>
          </cell>
          <cell r="E178" t="str">
            <v>AUD</v>
          </cell>
          <cell r="F178" t="str">
            <v>RL</v>
          </cell>
          <cell r="G178">
            <v>45298</v>
          </cell>
          <cell r="J178" t="str">
            <v>List Price</v>
          </cell>
          <cell r="K178" t="str">
            <v>Quantity</v>
          </cell>
          <cell r="L178" t="str">
            <v>No</v>
          </cell>
        </row>
        <row r="179">
          <cell r="D179" t="str">
            <v>MF30010</v>
          </cell>
          <cell r="E179" t="str">
            <v>AUD</v>
          </cell>
          <cell r="F179" t="str">
            <v>RL</v>
          </cell>
          <cell r="G179">
            <v>45298</v>
          </cell>
          <cell r="J179" t="str">
            <v>List Price</v>
          </cell>
          <cell r="K179" t="str">
            <v>Quantity</v>
          </cell>
          <cell r="L179" t="str">
            <v>No</v>
          </cell>
        </row>
        <row r="180">
          <cell r="D180" t="str">
            <v>MF30020</v>
          </cell>
          <cell r="E180" t="str">
            <v>AUD</v>
          </cell>
          <cell r="F180" t="str">
            <v>RL</v>
          </cell>
          <cell r="G180">
            <v>45298</v>
          </cell>
          <cell r="J180" t="str">
            <v>List Price</v>
          </cell>
          <cell r="K180" t="str">
            <v>Quantity</v>
          </cell>
          <cell r="L180" t="str">
            <v>No</v>
          </cell>
        </row>
        <row r="181">
          <cell r="D181" t="str">
            <v>MF30021</v>
          </cell>
          <cell r="E181" t="str">
            <v>AUD</v>
          </cell>
          <cell r="F181" t="str">
            <v>RL</v>
          </cell>
          <cell r="G181">
            <v>45298</v>
          </cell>
          <cell r="J181" t="str">
            <v>List Price</v>
          </cell>
          <cell r="K181" t="str">
            <v>Quantity</v>
          </cell>
          <cell r="L181" t="str">
            <v>No</v>
          </cell>
        </row>
        <row r="182">
          <cell r="D182" t="str">
            <v>MF50095</v>
          </cell>
          <cell r="E182" t="str">
            <v>AUD</v>
          </cell>
          <cell r="F182" t="str">
            <v>RL</v>
          </cell>
          <cell r="G182">
            <v>45298</v>
          </cell>
          <cell r="J182" t="str">
            <v>List Price</v>
          </cell>
          <cell r="K182" t="str">
            <v>Quantity</v>
          </cell>
          <cell r="L182" t="str">
            <v>No</v>
          </cell>
        </row>
        <row r="183">
          <cell r="D183" t="str">
            <v>MF50096</v>
          </cell>
          <cell r="E183" t="str">
            <v>AUD</v>
          </cell>
          <cell r="F183" t="str">
            <v>RL</v>
          </cell>
          <cell r="G183">
            <v>45298</v>
          </cell>
          <cell r="J183" t="str">
            <v>List Price</v>
          </cell>
          <cell r="K183" t="str">
            <v>Quantity</v>
          </cell>
          <cell r="L183" t="str">
            <v>No</v>
          </cell>
        </row>
        <row r="184">
          <cell r="D184" t="str">
            <v>MF50098</v>
          </cell>
          <cell r="E184" t="str">
            <v>AUD</v>
          </cell>
          <cell r="F184" t="str">
            <v>RL</v>
          </cell>
          <cell r="G184">
            <v>45298</v>
          </cell>
          <cell r="J184" t="str">
            <v>List Price</v>
          </cell>
          <cell r="K184" t="str">
            <v>Quantity</v>
          </cell>
          <cell r="L184" t="str">
            <v>No</v>
          </cell>
        </row>
        <row r="185">
          <cell r="D185" t="str">
            <v>MFA3323</v>
          </cell>
          <cell r="E185" t="str">
            <v>AUD</v>
          </cell>
          <cell r="F185" t="str">
            <v>RL</v>
          </cell>
          <cell r="G185">
            <v>45298</v>
          </cell>
          <cell r="J185" t="str">
            <v>List Price</v>
          </cell>
          <cell r="K185" t="str">
            <v>Quantity</v>
          </cell>
          <cell r="L185" t="str">
            <v>No</v>
          </cell>
        </row>
        <row r="186">
          <cell r="D186" t="str">
            <v>MMC05R1</v>
          </cell>
          <cell r="E186" t="str">
            <v>AUD</v>
          </cell>
          <cell r="F186" t="str">
            <v>EA</v>
          </cell>
          <cell r="G186">
            <v>45298</v>
          </cell>
          <cell r="J186" t="str">
            <v>List Price</v>
          </cell>
          <cell r="K186" t="str">
            <v>Quantity</v>
          </cell>
          <cell r="L186" t="str">
            <v>No</v>
          </cell>
        </row>
        <row r="187">
          <cell r="D187" t="str">
            <v>MUD0461</v>
          </cell>
          <cell r="E187" t="str">
            <v>AUD</v>
          </cell>
          <cell r="F187" t="str">
            <v>RL</v>
          </cell>
          <cell r="G187">
            <v>45298</v>
          </cell>
          <cell r="J187" t="str">
            <v>List Price</v>
          </cell>
          <cell r="K187" t="str">
            <v>Quantity</v>
          </cell>
          <cell r="L187" t="str">
            <v>No</v>
          </cell>
        </row>
        <row r="188">
          <cell r="D188" t="str">
            <v>MUD3796</v>
          </cell>
          <cell r="E188" t="str">
            <v>AUD</v>
          </cell>
          <cell r="F188" t="str">
            <v>RL</v>
          </cell>
          <cell r="G188">
            <v>45298</v>
          </cell>
          <cell r="J188" t="str">
            <v>List Price</v>
          </cell>
          <cell r="K188" t="str">
            <v>Quantity</v>
          </cell>
          <cell r="L188" t="str">
            <v>No</v>
          </cell>
        </row>
        <row r="189">
          <cell r="D189" t="str">
            <v>MV6700B0250GR</v>
          </cell>
          <cell r="E189" t="str">
            <v>AUD</v>
          </cell>
          <cell r="F189" t="str">
            <v>RL</v>
          </cell>
          <cell r="G189">
            <v>45298</v>
          </cell>
          <cell r="J189" t="str">
            <v>List Price</v>
          </cell>
          <cell r="K189" t="str">
            <v>Quantity</v>
          </cell>
          <cell r="L189" t="str">
            <v>No</v>
          </cell>
        </row>
        <row r="190">
          <cell r="D190" t="str">
            <v>MV6701B0250GR</v>
          </cell>
          <cell r="E190" t="str">
            <v>AUD</v>
          </cell>
          <cell r="F190" t="str">
            <v>RL</v>
          </cell>
          <cell r="G190">
            <v>45298</v>
          </cell>
          <cell r="J190" t="str">
            <v>List Price</v>
          </cell>
          <cell r="K190" t="str">
            <v>Quantity</v>
          </cell>
          <cell r="L190" t="str">
            <v>No</v>
          </cell>
        </row>
        <row r="191">
          <cell r="D191" t="str">
            <v>MV6722B0250GR</v>
          </cell>
          <cell r="E191" t="str">
            <v>AUD</v>
          </cell>
          <cell r="F191" t="str">
            <v>RL</v>
          </cell>
          <cell r="G191">
            <v>45298</v>
          </cell>
          <cell r="J191" t="str">
            <v>List Price</v>
          </cell>
          <cell r="K191" t="str">
            <v>Quantity</v>
          </cell>
          <cell r="L191" t="str">
            <v>No</v>
          </cell>
        </row>
        <row r="192">
          <cell r="D192" t="str">
            <v>MV6772B0250GR</v>
          </cell>
          <cell r="E192" t="str">
            <v>AUD</v>
          </cell>
          <cell r="F192" t="str">
            <v>RL</v>
          </cell>
          <cell r="G192">
            <v>45298</v>
          </cell>
          <cell r="J192" t="str">
            <v>List Price</v>
          </cell>
          <cell r="K192" t="str">
            <v>Quantity</v>
          </cell>
          <cell r="L192" t="str">
            <v>No</v>
          </cell>
        </row>
        <row r="193">
          <cell r="D193" t="str">
            <v>MXD5984</v>
          </cell>
          <cell r="E193" t="str">
            <v>AUD</v>
          </cell>
          <cell r="F193" t="str">
            <v>EA</v>
          </cell>
          <cell r="G193">
            <v>45298</v>
          </cell>
          <cell r="J193" t="str">
            <v>List Price</v>
          </cell>
          <cell r="K193" t="str">
            <v>Quantity</v>
          </cell>
          <cell r="L193" t="str">
            <v>No</v>
          </cell>
        </row>
        <row r="194">
          <cell r="D194" t="str">
            <v>MXD9374</v>
          </cell>
          <cell r="E194" t="str">
            <v>AUD</v>
          </cell>
          <cell r="F194" t="str">
            <v>RL</v>
          </cell>
          <cell r="G194">
            <v>45298</v>
          </cell>
          <cell r="J194" t="str">
            <v>List Price</v>
          </cell>
          <cell r="K194" t="str">
            <v>Quantity</v>
          </cell>
          <cell r="L194" t="str">
            <v>No</v>
          </cell>
        </row>
        <row r="195">
          <cell r="D195" t="str">
            <v>MYB0548</v>
          </cell>
          <cell r="E195" t="str">
            <v>AUD</v>
          </cell>
          <cell r="F195" t="str">
            <v>RL</v>
          </cell>
          <cell r="G195">
            <v>45298</v>
          </cell>
          <cell r="J195" t="str">
            <v>List Price</v>
          </cell>
          <cell r="K195" t="str">
            <v>Quantity</v>
          </cell>
          <cell r="L195" t="str">
            <v>No</v>
          </cell>
        </row>
        <row r="196">
          <cell r="D196" t="str">
            <v>MYB2890</v>
          </cell>
          <cell r="E196" t="str">
            <v>AUD</v>
          </cell>
          <cell r="F196" t="str">
            <v>RL</v>
          </cell>
          <cell r="G196">
            <v>45298</v>
          </cell>
          <cell r="J196" t="str">
            <v>List Price</v>
          </cell>
          <cell r="K196" t="str">
            <v>Quantity</v>
          </cell>
          <cell r="L196" t="str">
            <v>No</v>
          </cell>
        </row>
        <row r="197">
          <cell r="D197" t="str">
            <v>MYB5497</v>
          </cell>
          <cell r="E197" t="str">
            <v>AUD</v>
          </cell>
          <cell r="F197" t="str">
            <v>RL</v>
          </cell>
          <cell r="G197">
            <v>45298</v>
          </cell>
          <cell r="J197" t="str">
            <v>List Price</v>
          </cell>
          <cell r="K197" t="str">
            <v>Quantity</v>
          </cell>
          <cell r="L197" t="str">
            <v>No</v>
          </cell>
        </row>
        <row r="198">
          <cell r="D198" t="str">
            <v>MZA1164</v>
          </cell>
          <cell r="E198" t="str">
            <v>AUD</v>
          </cell>
          <cell r="F198" t="str">
            <v>EA</v>
          </cell>
          <cell r="G198">
            <v>45298</v>
          </cell>
          <cell r="J198" t="str">
            <v>List Price</v>
          </cell>
          <cell r="K198" t="str">
            <v>Quantity</v>
          </cell>
          <cell r="L198" t="str">
            <v>No</v>
          </cell>
        </row>
        <row r="199">
          <cell r="D199" t="str">
            <v>MZA1170</v>
          </cell>
          <cell r="E199" t="str">
            <v>AUD</v>
          </cell>
          <cell r="F199" t="str">
            <v>EA</v>
          </cell>
          <cell r="G199">
            <v>45298</v>
          </cell>
          <cell r="J199" t="str">
            <v>List Price</v>
          </cell>
          <cell r="K199" t="str">
            <v>Quantity</v>
          </cell>
          <cell r="L199" t="str">
            <v>No</v>
          </cell>
        </row>
        <row r="200">
          <cell r="D200" t="str">
            <v>PFA0840</v>
          </cell>
          <cell r="E200" t="str">
            <v>AUD</v>
          </cell>
          <cell r="F200" t="str">
            <v>RL</v>
          </cell>
          <cell r="G200">
            <v>45298</v>
          </cell>
          <cell r="J200" t="str">
            <v>List Price</v>
          </cell>
          <cell r="K200" t="str">
            <v>Quantity</v>
          </cell>
          <cell r="L200" t="str">
            <v>No</v>
          </cell>
        </row>
        <row r="201">
          <cell r="D201" t="str">
            <v>SE00306.762</v>
          </cell>
          <cell r="E201" t="str">
            <v>AUD</v>
          </cell>
          <cell r="F201" t="str">
            <v>EA</v>
          </cell>
          <cell r="G201">
            <v>45298</v>
          </cell>
          <cell r="J201" t="str">
            <v>List Price</v>
          </cell>
          <cell r="K201" t="str">
            <v>Quantity</v>
          </cell>
          <cell r="L201" t="str">
            <v>No</v>
          </cell>
        </row>
        <row r="202">
          <cell r="D202" t="str">
            <v>SPP - 5L</v>
          </cell>
          <cell r="E202" t="str">
            <v>AUD</v>
          </cell>
          <cell r="F202" t="str">
            <v>BX</v>
          </cell>
          <cell r="G202">
            <v>45298</v>
          </cell>
          <cell r="J202" t="str">
            <v>List Price</v>
          </cell>
          <cell r="K202" t="str">
            <v>Quantity</v>
          </cell>
          <cell r="L202" t="str">
            <v>No</v>
          </cell>
        </row>
        <row r="203">
          <cell r="D203" t="str">
            <v>TM-316-100B</v>
          </cell>
          <cell r="E203" t="str">
            <v>AUD</v>
          </cell>
          <cell r="F203" t="str">
            <v>BX</v>
          </cell>
          <cell r="G203">
            <v>45298</v>
          </cell>
          <cell r="J203" t="str">
            <v>List Price</v>
          </cell>
          <cell r="K203" t="str">
            <v>Quantity</v>
          </cell>
          <cell r="L203" t="str">
            <v>No</v>
          </cell>
        </row>
        <row r="204">
          <cell r="D204" t="str">
            <v>TM-316-100R</v>
          </cell>
          <cell r="E204" t="str">
            <v>AUD</v>
          </cell>
          <cell r="F204" t="str">
            <v>BX</v>
          </cell>
          <cell r="G204">
            <v>45298</v>
          </cell>
          <cell r="J204" t="str">
            <v>List Price</v>
          </cell>
          <cell r="K204" t="str">
            <v>Quantity</v>
          </cell>
          <cell r="L204" t="str">
            <v>No</v>
          </cell>
        </row>
        <row r="205">
          <cell r="D205" t="str">
            <v>TM-316-65B</v>
          </cell>
          <cell r="E205" t="str">
            <v>AUD</v>
          </cell>
          <cell r="F205" t="str">
            <v>BX</v>
          </cell>
          <cell r="G205">
            <v>45298</v>
          </cell>
          <cell r="J205" t="str">
            <v>List Price</v>
          </cell>
          <cell r="K205" t="str">
            <v>Quantity</v>
          </cell>
          <cell r="L205" t="str">
            <v>No</v>
          </cell>
        </row>
        <row r="206">
          <cell r="D206" t="str">
            <v>TM-316-65R</v>
          </cell>
          <cell r="E206" t="str">
            <v>AUD</v>
          </cell>
          <cell r="F206" t="str">
            <v>BX</v>
          </cell>
          <cell r="G206">
            <v>45298</v>
          </cell>
          <cell r="J206" t="str">
            <v>List Price</v>
          </cell>
          <cell r="K206" t="str">
            <v>Quantity</v>
          </cell>
          <cell r="L206" t="str">
            <v>No</v>
          </cell>
        </row>
        <row r="207">
          <cell r="D207" t="str">
            <v>UD3903</v>
          </cell>
          <cell r="E207" t="str">
            <v>AUD</v>
          </cell>
          <cell r="F207" t="str">
            <v>RL</v>
          </cell>
          <cell r="G207">
            <v>45298</v>
          </cell>
          <cell r="J207" t="str">
            <v>List Price</v>
          </cell>
          <cell r="K207" t="str">
            <v>Quantity</v>
          </cell>
          <cell r="L207" t="str">
            <v>No</v>
          </cell>
        </row>
        <row r="208">
          <cell r="D208" t="str">
            <v>V4000EZA1</v>
          </cell>
          <cell r="E208" t="str">
            <v>AUD</v>
          </cell>
          <cell r="F208" t="str">
            <v>RL</v>
          </cell>
          <cell r="G208">
            <v>45298</v>
          </cell>
          <cell r="J208" t="str">
            <v>List Price</v>
          </cell>
          <cell r="K208" t="str">
            <v>Quantity</v>
          </cell>
          <cell r="L208" t="str">
            <v>No</v>
          </cell>
        </row>
        <row r="209">
          <cell r="D209" t="str">
            <v>V4000EZDB</v>
          </cell>
          <cell r="E209" t="str">
            <v>AUD</v>
          </cell>
          <cell r="F209" t="str">
            <v>RL</v>
          </cell>
          <cell r="G209">
            <v>45298</v>
          </cell>
          <cell r="J209" t="str">
            <v>List Price</v>
          </cell>
          <cell r="K209" t="str">
            <v>Quantity</v>
          </cell>
          <cell r="L209" t="str">
            <v>No</v>
          </cell>
        </row>
        <row r="210">
          <cell r="D210" t="str">
            <v>V4000PAA1</v>
          </cell>
          <cell r="E210" t="str">
            <v>AUD</v>
          </cell>
          <cell r="F210" t="str">
            <v>RL</v>
          </cell>
          <cell r="G210">
            <v>45298</v>
          </cell>
          <cell r="J210" t="str">
            <v>List Price</v>
          </cell>
          <cell r="K210" t="str">
            <v>Quantity</v>
          </cell>
          <cell r="L210" t="str">
            <v>No</v>
          </cell>
        </row>
        <row r="211">
          <cell r="D211" t="str">
            <v>V4000PADB</v>
          </cell>
          <cell r="E211" t="str">
            <v>AUD</v>
          </cell>
          <cell r="F211" t="str">
            <v>RL</v>
          </cell>
          <cell r="G211">
            <v>45298</v>
          </cell>
          <cell r="J211" t="str">
            <v>List Price</v>
          </cell>
          <cell r="K211" t="str">
            <v>Quantity</v>
          </cell>
          <cell r="L211" t="str">
            <v>No</v>
          </cell>
        </row>
        <row r="212">
          <cell r="D212" t="str">
            <v>V4001EZA1</v>
          </cell>
          <cell r="E212" t="str">
            <v>AUD</v>
          </cell>
          <cell r="F212" t="str">
            <v>RL</v>
          </cell>
          <cell r="G212">
            <v>45298</v>
          </cell>
          <cell r="J212" t="str">
            <v>List Price</v>
          </cell>
          <cell r="K212" t="str">
            <v>Quantity</v>
          </cell>
          <cell r="L212" t="str">
            <v>No</v>
          </cell>
        </row>
        <row r="213">
          <cell r="D213" t="str">
            <v>V4001PAA1</v>
          </cell>
          <cell r="E213" t="str">
            <v>AUD</v>
          </cell>
          <cell r="F213" t="str">
            <v>RL</v>
          </cell>
          <cell r="G213">
            <v>45298</v>
          </cell>
          <cell r="J213" t="str">
            <v>List Price</v>
          </cell>
          <cell r="K213" t="str">
            <v>Quantity</v>
          </cell>
          <cell r="L213" t="str">
            <v>No</v>
          </cell>
        </row>
        <row r="214">
          <cell r="D214" t="str">
            <v>V4003EZA1</v>
          </cell>
          <cell r="E214" t="str">
            <v>AUD</v>
          </cell>
          <cell r="F214" t="str">
            <v>RL</v>
          </cell>
          <cell r="G214">
            <v>45298</v>
          </cell>
          <cell r="J214" t="str">
            <v>List Price</v>
          </cell>
          <cell r="K214" t="str">
            <v>Quantity</v>
          </cell>
          <cell r="L214" t="str">
            <v>No</v>
          </cell>
        </row>
        <row r="215">
          <cell r="D215" t="str">
            <v>V4003PAA1</v>
          </cell>
          <cell r="E215" t="str">
            <v>AUD</v>
          </cell>
          <cell r="F215" t="str">
            <v>RL</v>
          </cell>
          <cell r="G215">
            <v>45298</v>
          </cell>
          <cell r="J215" t="str">
            <v>List Price</v>
          </cell>
          <cell r="K215" t="str">
            <v>Quantity</v>
          </cell>
          <cell r="L215" t="str">
            <v>No</v>
          </cell>
        </row>
        <row r="216">
          <cell r="D216" t="str">
            <v>V4004EZA1</v>
          </cell>
          <cell r="E216" t="str">
            <v>AUD</v>
          </cell>
          <cell r="F216" t="str">
            <v>RL</v>
          </cell>
          <cell r="G216">
            <v>45298</v>
          </cell>
          <cell r="J216" t="str">
            <v>List Price</v>
          </cell>
          <cell r="K216" t="str">
            <v>Quantity</v>
          </cell>
          <cell r="L216" t="str">
            <v>No</v>
          </cell>
        </row>
        <row r="217">
          <cell r="D217" t="str">
            <v>V4004PAA1</v>
          </cell>
          <cell r="E217" t="str">
            <v>AUD</v>
          </cell>
          <cell r="F217" t="str">
            <v>RL</v>
          </cell>
          <cell r="G217">
            <v>45298</v>
          </cell>
          <cell r="J217" t="str">
            <v>List Price</v>
          </cell>
          <cell r="K217" t="str">
            <v>Quantity</v>
          </cell>
          <cell r="L217" t="str">
            <v>No</v>
          </cell>
        </row>
        <row r="218">
          <cell r="D218" t="str">
            <v>V4005EZA1</v>
          </cell>
          <cell r="E218" t="str">
            <v>AUD</v>
          </cell>
          <cell r="F218" t="str">
            <v>RL</v>
          </cell>
          <cell r="G218">
            <v>45298</v>
          </cell>
          <cell r="J218" t="str">
            <v>List Price</v>
          </cell>
          <cell r="K218" t="str">
            <v>Quantity</v>
          </cell>
          <cell r="L218" t="str">
            <v>No</v>
          </cell>
        </row>
        <row r="219">
          <cell r="D219" t="str">
            <v>V4005PAA1</v>
          </cell>
          <cell r="E219" t="str">
            <v>AUD</v>
          </cell>
          <cell r="F219" t="str">
            <v>RL</v>
          </cell>
          <cell r="G219">
            <v>45298</v>
          </cell>
          <cell r="J219" t="str">
            <v>List Price</v>
          </cell>
          <cell r="K219" t="str">
            <v>Quantity</v>
          </cell>
          <cell r="L219" t="str">
            <v>No</v>
          </cell>
        </row>
        <row r="220">
          <cell r="D220" t="str">
            <v>V4008EZA1</v>
          </cell>
          <cell r="E220" t="str">
            <v>AUD</v>
          </cell>
          <cell r="F220" t="str">
            <v>RL</v>
          </cell>
          <cell r="G220">
            <v>45298</v>
          </cell>
          <cell r="J220" t="str">
            <v>List Price</v>
          </cell>
          <cell r="K220" t="str">
            <v>Quantity</v>
          </cell>
          <cell r="L220" t="str">
            <v>No</v>
          </cell>
        </row>
        <row r="221">
          <cell r="D221" t="str">
            <v>V4008PAA1</v>
          </cell>
          <cell r="E221" t="str">
            <v>AUD</v>
          </cell>
          <cell r="F221" t="str">
            <v>RL</v>
          </cell>
          <cell r="G221">
            <v>45298</v>
          </cell>
          <cell r="J221" t="str">
            <v>List Price</v>
          </cell>
          <cell r="K221" t="str">
            <v>Quantity</v>
          </cell>
          <cell r="L221" t="str">
            <v>No</v>
          </cell>
        </row>
        <row r="222">
          <cell r="D222" t="str">
            <v>V8000EADA</v>
          </cell>
          <cell r="E222" t="str">
            <v>AUD</v>
          </cell>
          <cell r="F222" t="str">
            <v>RL</v>
          </cell>
          <cell r="G222">
            <v>45298</v>
          </cell>
          <cell r="J222" t="str">
            <v>List Price</v>
          </cell>
          <cell r="K222" t="str">
            <v>Quantity</v>
          </cell>
          <cell r="L222" t="str">
            <v>No</v>
          </cell>
        </row>
        <row r="223">
          <cell r="D223" t="str">
            <v>V8005EADA</v>
          </cell>
          <cell r="E223" t="str">
            <v>AUD</v>
          </cell>
          <cell r="F223" t="str">
            <v>RL</v>
          </cell>
          <cell r="G223">
            <v>45298</v>
          </cell>
          <cell r="J223" t="str">
            <v>List Price</v>
          </cell>
          <cell r="K223" t="str">
            <v>Quantity</v>
          </cell>
          <cell r="L223" t="str">
            <v>No</v>
          </cell>
        </row>
        <row r="224">
          <cell r="D224" t="str">
            <v>V8007EADA</v>
          </cell>
          <cell r="E224" t="str">
            <v>AUD</v>
          </cell>
          <cell r="F224" t="str">
            <v>RL</v>
          </cell>
          <cell r="G224">
            <v>45298</v>
          </cell>
          <cell r="J224" t="str">
            <v>List Price</v>
          </cell>
          <cell r="K224" t="str">
            <v>Quantity</v>
          </cell>
          <cell r="L224" t="str">
            <v>No</v>
          </cell>
        </row>
        <row r="225">
          <cell r="D225" t="str">
            <v>V8008EADA</v>
          </cell>
          <cell r="E225" t="str">
            <v>AUD</v>
          </cell>
          <cell r="F225" t="str">
            <v>RL</v>
          </cell>
          <cell r="G225">
            <v>45298</v>
          </cell>
          <cell r="J225" t="str">
            <v>List Price</v>
          </cell>
          <cell r="K225" t="str">
            <v>Quantity</v>
          </cell>
          <cell r="L225" t="str">
            <v>No</v>
          </cell>
        </row>
        <row r="226">
          <cell r="D226" t="str">
            <v>V8013EADA</v>
          </cell>
          <cell r="E226" t="str">
            <v>AUD</v>
          </cell>
          <cell r="F226" t="str">
            <v>RL</v>
          </cell>
          <cell r="G226">
            <v>45298</v>
          </cell>
          <cell r="J226" t="str">
            <v>List Price</v>
          </cell>
          <cell r="K226" t="str">
            <v>Quantity</v>
          </cell>
          <cell r="L226" t="str">
            <v>No</v>
          </cell>
        </row>
        <row r="227">
          <cell r="D227" t="str">
            <v>V8014EADA</v>
          </cell>
          <cell r="E227" t="str">
            <v>AUD</v>
          </cell>
          <cell r="F227" t="str">
            <v>RL</v>
          </cell>
          <cell r="G227">
            <v>45298</v>
          </cell>
          <cell r="J227" t="str">
            <v>List Price</v>
          </cell>
          <cell r="K227" t="str">
            <v>Quantity</v>
          </cell>
          <cell r="L227" t="str">
            <v>No</v>
          </cell>
        </row>
        <row r="228">
          <cell r="D228" t="str">
            <v>XD9267</v>
          </cell>
          <cell r="E228" t="str">
            <v>AUD</v>
          </cell>
          <cell r="F228" t="str">
            <v>EA</v>
          </cell>
          <cell r="G228">
            <v>45298</v>
          </cell>
          <cell r="J228" t="str">
            <v>List Price</v>
          </cell>
          <cell r="K228" t="str">
            <v>Quantity</v>
          </cell>
          <cell r="L228" t="str">
            <v>No</v>
          </cell>
        </row>
        <row r="229">
          <cell r="D229" t="str">
            <v>XD9275</v>
          </cell>
          <cell r="E229" t="str">
            <v>AUD</v>
          </cell>
          <cell r="F229" t="str">
            <v>EA</v>
          </cell>
          <cell r="G229">
            <v>45298</v>
          </cell>
          <cell r="J229" t="str">
            <v>List Price</v>
          </cell>
          <cell r="K229" t="str">
            <v>Quantity</v>
          </cell>
          <cell r="L229" t="str">
            <v>No</v>
          </cell>
        </row>
        <row r="230">
          <cell r="D230" t="str">
            <v>XE6536</v>
          </cell>
          <cell r="E230" t="str">
            <v>AUD</v>
          </cell>
          <cell r="F230" t="str">
            <v>BX</v>
          </cell>
          <cell r="G230">
            <v>45298</v>
          </cell>
          <cell r="J230" t="str">
            <v>List Price</v>
          </cell>
          <cell r="K230" t="str">
            <v>Quantity</v>
          </cell>
          <cell r="L230" t="str">
            <v>No</v>
          </cell>
        </row>
        <row r="231">
          <cell r="D231" t="str">
            <v>A001072</v>
          </cell>
          <cell r="E231" t="str">
            <v>AUD</v>
          </cell>
          <cell r="F231" t="str">
            <v>RL</v>
          </cell>
          <cell r="G231">
            <v>45298</v>
          </cell>
          <cell r="J231" t="str">
            <v>List Price</v>
          </cell>
          <cell r="K231" t="str">
            <v>Quantity</v>
          </cell>
          <cell r="L231" t="str">
            <v>No</v>
          </cell>
        </row>
        <row r="232">
          <cell r="D232" t="str">
            <v>A006131</v>
          </cell>
          <cell r="E232" t="str">
            <v>AUD</v>
          </cell>
          <cell r="F232" t="str">
            <v>RL</v>
          </cell>
          <cell r="G232">
            <v>45298</v>
          </cell>
          <cell r="J232" t="str">
            <v>List Price</v>
          </cell>
          <cell r="K232" t="str">
            <v>Quantity</v>
          </cell>
          <cell r="L232" t="str">
            <v>No</v>
          </cell>
        </row>
        <row r="233">
          <cell r="D233" t="str">
            <v>A006133</v>
          </cell>
          <cell r="E233" t="str">
            <v>AUD</v>
          </cell>
          <cell r="F233" t="str">
            <v>RL</v>
          </cell>
          <cell r="G233">
            <v>45298</v>
          </cell>
          <cell r="J233" t="str">
            <v>List Price</v>
          </cell>
          <cell r="K233" t="str">
            <v>Quantity</v>
          </cell>
          <cell r="L233" t="str">
            <v>No</v>
          </cell>
        </row>
        <row r="234">
          <cell r="D234" t="str">
            <v>A006170</v>
          </cell>
          <cell r="E234" t="str">
            <v>AUD</v>
          </cell>
          <cell r="F234" t="str">
            <v>RL</v>
          </cell>
          <cell r="G234">
            <v>45298</v>
          </cell>
          <cell r="J234" t="str">
            <v>List Price</v>
          </cell>
          <cell r="K234" t="str">
            <v>Quantity</v>
          </cell>
          <cell r="L234" t="str">
            <v>No</v>
          </cell>
        </row>
        <row r="235">
          <cell r="D235" t="str">
            <v>A006171</v>
          </cell>
          <cell r="E235" t="str">
            <v>AUD</v>
          </cell>
          <cell r="F235" t="str">
            <v>RL</v>
          </cell>
          <cell r="G235">
            <v>45298</v>
          </cell>
          <cell r="J235" t="str">
            <v>List Price</v>
          </cell>
          <cell r="K235" t="str">
            <v>Quantity</v>
          </cell>
          <cell r="L235" t="str">
            <v>No</v>
          </cell>
        </row>
        <row r="236">
          <cell r="D236" t="str">
            <v>A006172</v>
          </cell>
          <cell r="E236" t="str">
            <v>AUD</v>
          </cell>
          <cell r="F236" t="str">
            <v>RL</v>
          </cell>
          <cell r="G236">
            <v>45298</v>
          </cell>
          <cell r="J236" t="str">
            <v>List Price</v>
          </cell>
          <cell r="K236" t="str">
            <v>Quantity</v>
          </cell>
          <cell r="L236" t="str">
            <v>No</v>
          </cell>
        </row>
        <row r="237">
          <cell r="D237" t="str">
            <v>A111822</v>
          </cell>
          <cell r="E237" t="str">
            <v>AUD</v>
          </cell>
          <cell r="F237" t="str">
            <v>RL</v>
          </cell>
          <cell r="G237">
            <v>45298</v>
          </cell>
          <cell r="J237" t="str">
            <v>List Price</v>
          </cell>
          <cell r="K237" t="str">
            <v>Quantity</v>
          </cell>
          <cell r="L237" t="str">
            <v>No</v>
          </cell>
        </row>
        <row r="238">
          <cell r="D238" t="str">
            <v>BP8610002</v>
          </cell>
          <cell r="E238" t="str">
            <v>AUD</v>
          </cell>
          <cell r="F238" t="str">
            <v>RL</v>
          </cell>
          <cell r="G238">
            <v>45298</v>
          </cell>
          <cell r="J238" t="str">
            <v>List Price</v>
          </cell>
          <cell r="K238" t="str">
            <v>Quantity</v>
          </cell>
          <cell r="L238" t="str">
            <v>No</v>
          </cell>
        </row>
        <row r="239">
          <cell r="D239" t="str">
            <v>DD8523</v>
          </cell>
          <cell r="E239" t="str">
            <v>AUD</v>
          </cell>
          <cell r="F239" t="str">
            <v>RL</v>
          </cell>
          <cell r="G239">
            <v>45298</v>
          </cell>
          <cell r="J239" t="str">
            <v>List Price</v>
          </cell>
          <cell r="K239" t="str">
            <v>Quantity</v>
          </cell>
          <cell r="L239" t="str">
            <v>No</v>
          </cell>
        </row>
        <row r="240">
          <cell r="D240" t="str">
            <v>MF10057</v>
          </cell>
          <cell r="E240" t="str">
            <v>AUD</v>
          </cell>
          <cell r="F240" t="str">
            <v>RL</v>
          </cell>
          <cell r="G240">
            <v>45298</v>
          </cell>
          <cell r="J240" t="str">
            <v>List Price</v>
          </cell>
          <cell r="K240" t="str">
            <v>Quantity</v>
          </cell>
          <cell r="L240" t="str">
            <v>No</v>
          </cell>
        </row>
        <row r="241">
          <cell r="D241" t="str">
            <v>MFA3315</v>
          </cell>
          <cell r="E241" t="str">
            <v>AUD</v>
          </cell>
          <cell r="F241" t="str">
            <v>RL</v>
          </cell>
          <cell r="G241">
            <v>45298</v>
          </cell>
          <cell r="J241" t="str">
            <v>List Price</v>
          </cell>
          <cell r="K241" t="str">
            <v>Quantity</v>
          </cell>
          <cell r="L241" t="str">
            <v>No</v>
          </cell>
        </row>
        <row r="242">
          <cell r="D242" t="str">
            <v>MYB2882</v>
          </cell>
          <cell r="E242" t="str">
            <v>AUD</v>
          </cell>
          <cell r="F242" t="str">
            <v>RL</v>
          </cell>
          <cell r="G242">
            <v>45298</v>
          </cell>
          <cell r="J242" t="str">
            <v>List Price</v>
          </cell>
          <cell r="K242" t="str">
            <v>Quantity</v>
          </cell>
          <cell r="L242" t="str">
            <v>No</v>
          </cell>
        </row>
        <row r="243">
          <cell r="D243" t="str">
            <v>MYB2908</v>
          </cell>
          <cell r="E243" t="str">
            <v>AUD</v>
          </cell>
          <cell r="F243" t="str">
            <v>RL</v>
          </cell>
          <cell r="G243">
            <v>45298</v>
          </cell>
          <cell r="J243" t="str">
            <v>List Price</v>
          </cell>
          <cell r="K243" t="str">
            <v>Quantity</v>
          </cell>
          <cell r="L243" t="str">
            <v>No</v>
          </cell>
        </row>
        <row r="244">
          <cell r="D244" t="str">
            <v>SY0040</v>
          </cell>
          <cell r="E244" t="str">
            <v>AUD</v>
          </cell>
          <cell r="F244" t="str">
            <v>RL</v>
          </cell>
          <cell r="G244">
            <v>45298</v>
          </cell>
          <cell r="J244" t="str">
            <v>List Price</v>
          </cell>
          <cell r="K244" t="str">
            <v>Quantity</v>
          </cell>
          <cell r="L244" t="str">
            <v>No</v>
          </cell>
        </row>
        <row r="245">
          <cell r="D245" t="str">
            <v>TC8038</v>
          </cell>
          <cell r="E245" t="str">
            <v>AUD</v>
          </cell>
          <cell r="F245" t="str">
            <v>RL</v>
          </cell>
          <cell r="G245">
            <v>45298</v>
          </cell>
          <cell r="J245" t="str">
            <v>List Price</v>
          </cell>
          <cell r="K245" t="str">
            <v>Quantity</v>
          </cell>
          <cell r="L245" t="str">
            <v>No</v>
          </cell>
        </row>
      </sheetData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tel:0418%20424%20231" TargetMode="External" Id="rId1"/><Relationship Type="http://schemas.openxmlformats.org/officeDocument/2006/relationships/hyperlink" Target="https://labelconcepts.com.au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146" t="inlineStr">
        <is>
          <t>VESTAS - HILUX DUAL CAB (BH01) - estimate from photo</t>
        </is>
      </c>
    </row>
    <row r="2">
      <c r="A2" t="inlineStr"/>
    </row>
    <row r="3">
      <c r="A3" t="inlineStr">
        <is>
          <t>Item</t>
        </is>
      </c>
      <c r="B3" t="inlineStr">
        <is>
          <t>Width m</t>
        </is>
      </c>
      <c r="C3" t="inlineStr">
        <is>
          <t>Height m</t>
        </is>
      </c>
      <c r="D3" t="inlineStr">
        <is>
          <t>Qty</t>
        </is>
      </c>
      <c r="E3" t="inlineStr">
        <is>
          <t>m2</t>
        </is>
      </c>
    </row>
    <row r="4">
      <c r="A4" t="inlineStr">
        <is>
          <t>Vestas logo (front door)</t>
        </is>
      </c>
      <c r="B4" t="n">
        <v>0.7</v>
      </c>
      <c r="C4" t="n">
        <v>0.2</v>
      </c>
      <c r="D4" t="n">
        <v>2</v>
      </c>
      <c r="E4">
        <f>B4*C4*D4</f>
        <v/>
      </c>
    </row>
    <row r="5">
      <c r="A5" t="inlineStr">
        <is>
          <t>BH01 call ID (rear door) - REFLECTIVE</t>
        </is>
      </c>
      <c r="B5" t="n">
        <v>0.3</v>
      </c>
      <c r="C5" t="n">
        <v>0.22</v>
      </c>
      <c r="D5" t="n">
        <v>2</v>
      </c>
      <c r="E5">
        <f>B5*C5*D5</f>
        <v/>
      </c>
    </row>
    <row r="6">
      <c r="A6" t="inlineStr">
        <is>
          <t>Total decal area</t>
        </is>
      </c>
      <c r="B6" t="inlineStr"/>
      <c r="C6" t="inlineStr"/>
      <c r="D6" t="inlineStr"/>
      <c r="E6">
        <f>E4+E5</f>
        <v/>
      </c>
    </row>
    <row r="7">
      <c r="A7" t="inlineStr"/>
    </row>
    <row r="8">
      <c r="A8" t="inlineStr">
        <is>
          <t>Logo - MPI 1105 w/ DOL 1460 (1.37m stock)</t>
        </is>
      </c>
    </row>
    <row r="9">
      <c r="A9" t="inlineStr">
        <is>
          <t>Logo 0.70 x 0.20 -&gt; 0.25m per side incl. margins; 2 sides = 0.50 lm (WORKSHEET!I10), 0.685 m2</t>
        </is>
      </c>
    </row>
    <row r="10">
      <c r="A10" t="inlineStr">
        <is>
          <t>Call ID - 3M 680CR reflective w/ 8519 lustre (1.22m stock, $72/m2)</t>
        </is>
      </c>
    </row>
    <row r="11">
      <c r="A11" t="inlineStr">
        <is>
          <t>Both plates 0.30 + 0.30 = 0.60m wide nest on one row, 0.22 + margin = 0.25 lm (WORKSHEET!I18), 0.305 m2</t>
        </is>
      </c>
    </row>
    <row r="12">
      <c r="A12" t="inlineStr"/>
    </row>
    <row r="13">
      <c r="A13" t="inlineStr">
        <is>
          <t>Scale: front door ~0.95m wide in photo -&gt; logo ~0.70m (+/-15%). Plate size is rough.</t>
        </is>
      </c>
    </row>
    <row r="14">
      <c r="A14" t="inlineStr">
        <is>
          <t>Assumed: 1 vehicle, both sides identical, no rear/tailgate/bonnet graphics, 1 hr install, no freight</t>
        </is>
      </c>
    </row>
    <row r="15">
      <c r="A15" t="inlineStr">
        <is>
          <t>Note: STOCKS tab says DOL 1460 is listed for use with MPI 1005 (old); 1105 normally pairs with 6460. Used 1105/1460 as instructed.</t>
        </is>
      </c>
    </row>
    <row r="16">
      <c r="A16" t="inlineStr">
        <is>
          <t>Master sheet note: WORKSHEET!I9 was hard-coded 0 (kills kiss-cut material); replaced with formula in this copy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G9"/>
  <sheetViews>
    <sheetView zoomScale="125" zoomScaleNormal="125" zoomScalePageLayoutView="125" workbookViewId="0">
      <selection activeCell="C14" sqref="C14"/>
    </sheetView>
  </sheetViews>
  <sheetFormatPr baseColWidth="10" defaultColWidth="11" defaultRowHeight="16"/>
  <cols>
    <col width="15.1640625" customWidth="1" min="1" max="7"/>
  </cols>
  <sheetData>
    <row r="5" ht="46" customHeight="1">
      <c r="A5" s="1" t="n"/>
      <c r="B5" s="2" t="inlineStr">
        <is>
          <t>Nathan's Price</t>
        </is>
      </c>
      <c r="C5" s="3" t="inlineStr">
        <is>
          <t>Hours - person (worked out by $128 per hour)</t>
        </is>
      </c>
      <c r="D5" s="4" t="inlineStr">
        <is>
          <t>30% m/up</t>
        </is>
      </c>
      <c r="E5" s="3" t="inlineStr">
        <is>
          <t>Hours - person (worked out by $128 per hour)</t>
        </is>
      </c>
      <c r="F5" s="4" t="inlineStr">
        <is>
          <t>40% m/up</t>
        </is>
      </c>
      <c r="G5" s="3" t="inlineStr">
        <is>
          <t>Hours - person (worked out by $128 per hour)</t>
        </is>
      </c>
    </row>
    <row r="6" ht="19" customHeight="1">
      <c r="A6" s="2" t="inlineStr">
        <is>
          <t>Yaris</t>
        </is>
      </c>
      <c r="B6" s="5" t="n">
        <v>1710</v>
      </c>
      <c r="C6" s="6">
        <f>B6/128</f>
        <v/>
      </c>
      <c r="D6" s="5">
        <f>B6*1.3</f>
        <v/>
      </c>
      <c r="E6" s="6">
        <f>D6/128</f>
        <v/>
      </c>
      <c r="F6" s="5">
        <f>B6*1.4</f>
        <v/>
      </c>
      <c r="G6" s="6">
        <f>F6/128</f>
        <v/>
      </c>
    </row>
    <row r="7" ht="19" customHeight="1">
      <c r="A7" s="2" t="inlineStr">
        <is>
          <t>Carolla</t>
        </is>
      </c>
      <c r="B7" s="5" t="n">
        <v>1710</v>
      </c>
      <c r="C7" s="6">
        <f>B7/128</f>
        <v/>
      </c>
      <c r="D7" s="5">
        <f>B7*1.3</f>
        <v/>
      </c>
      <c r="E7" s="6">
        <f>D7/128</f>
        <v/>
      </c>
      <c r="F7" s="5">
        <f>B7*1.4</f>
        <v/>
      </c>
      <c r="G7" s="6">
        <f>F7/128</f>
        <v/>
      </c>
    </row>
    <row r="8" ht="19" customHeight="1">
      <c r="A8" s="2" t="inlineStr">
        <is>
          <t>Commuter</t>
        </is>
      </c>
      <c r="B8" s="5" t="n">
        <v>1890</v>
      </c>
      <c r="C8" s="6">
        <f>B8/128</f>
        <v/>
      </c>
      <c r="D8" s="5">
        <f>B8*1.3</f>
        <v/>
      </c>
      <c r="E8" s="6">
        <f>D8/128</f>
        <v/>
      </c>
      <c r="F8" s="5">
        <f>B8*1.4</f>
        <v/>
      </c>
      <c r="G8" s="6">
        <f>F8/128</f>
        <v/>
      </c>
    </row>
    <row r="9" ht="19" customHeight="1">
      <c r="A9" s="2" t="inlineStr">
        <is>
          <t>Coaster</t>
        </is>
      </c>
      <c r="B9" s="5" t="n">
        <v>2295</v>
      </c>
      <c r="C9" s="6">
        <f>B9/128</f>
        <v/>
      </c>
      <c r="D9" s="5">
        <f>B9*1.3</f>
        <v/>
      </c>
      <c r="E9" s="6">
        <f>D9/128</f>
        <v/>
      </c>
      <c r="F9" s="5">
        <f>B9*1.4</f>
        <v/>
      </c>
      <c r="G9" s="6">
        <f>F9/128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zoomScale="125" zoomScaleNormal="125" zoomScalePageLayoutView="125" workbookViewId="0">
      <selection activeCell="B5" sqref="B5"/>
    </sheetView>
  </sheetViews>
  <sheetFormatPr baseColWidth="10" defaultColWidth="10.83203125" defaultRowHeight="21"/>
  <cols>
    <col width="34.5" customWidth="1" style="7" min="1" max="1"/>
    <col width="10.83203125" customWidth="1" style="7" min="2" max="16384"/>
  </cols>
  <sheetData>
    <row r="1">
      <c r="A1" s="7" t="inlineStr">
        <is>
          <t>TOLL PRICES</t>
        </is>
      </c>
    </row>
    <row r="2">
      <c r="A2" s="7" t="inlineStr">
        <is>
          <t>1 box of 45.7m of Vinyl = 24kg</t>
        </is>
      </c>
    </row>
    <row r="3">
      <c r="A3" s="7" t="inlineStr">
        <is>
          <t>(0.7 kg per metre)</t>
        </is>
      </c>
    </row>
    <row r="5">
      <c r="A5" s="7" t="inlineStr">
        <is>
          <t>Consignment - $11</t>
        </is>
      </c>
    </row>
    <row r="6">
      <c r="A6" s="7" t="inlineStr">
        <is>
          <t>Plus 15% surcharge</t>
        </is>
      </c>
    </row>
    <row r="9">
      <c r="A9" s="7" t="inlineStr">
        <is>
          <t>OFF PEAK</t>
        </is>
      </c>
    </row>
    <row r="10">
      <c r="A10" s="7" t="inlineStr">
        <is>
          <t>Sydney Area - $1.38 / kg</t>
        </is>
      </c>
    </row>
    <row r="11">
      <c r="A11" s="7" t="inlineStr">
        <is>
          <t>Brisbane Area - $3.40 / kg</t>
        </is>
      </c>
    </row>
    <row r="12">
      <c r="A12" s="7" t="inlineStr">
        <is>
          <t>Perth Area - $2.95 / kg</t>
        </is>
      </c>
    </row>
    <row r="14">
      <c r="A14" s="7" t="inlineStr">
        <is>
          <t>OVERNIGHT</t>
        </is>
      </c>
    </row>
    <row r="15">
      <c r="A15" s="7" t="inlineStr">
        <is>
          <t>Sydney Area - $3.68 / kg</t>
        </is>
      </c>
    </row>
    <row r="16">
      <c r="A16" s="7" t="inlineStr">
        <is>
          <t>Brisbane Area - $8.70 / kg</t>
        </is>
      </c>
    </row>
    <row r="17">
      <c r="A17" s="7" t="inlineStr">
        <is>
          <t>Perth Area - $12.78 / 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"/>
  <sheetViews>
    <sheetView topLeftCell="A12" zoomScale="125" zoomScaleNormal="125" zoomScalePageLayoutView="125" workbookViewId="0">
      <selection activeCell="H41" sqref="H41"/>
    </sheetView>
  </sheetViews>
  <sheetFormatPr baseColWidth="10" defaultColWidth="8.83203125" defaultRowHeight="16"/>
  <cols>
    <col width="29.33203125" customWidth="1" min="2" max="2"/>
    <col width="5.5" customWidth="1" min="3" max="3"/>
    <col width="8.5" customWidth="1" min="4" max="4"/>
    <col width="9.6640625" customWidth="1" min="6" max="6"/>
    <col width="6.33203125" customWidth="1" min="15" max="15"/>
  </cols>
  <sheetData>
    <row r="1">
      <c r="A1" s="8" t="inlineStr">
        <is>
          <t>Name</t>
        </is>
      </c>
      <c r="B1" s="9" t="inlineStr">
        <is>
          <t>LABEL CONCEPTS P/L(90Days) - TELSTRA</t>
        </is>
      </c>
      <c r="C1" s="10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</row>
    <row r="2">
      <c r="A2" s="8" t="n"/>
      <c r="B2" s="8" t="n"/>
      <c r="C2" s="8" t="n"/>
      <c r="D2" s="8" t="n"/>
      <c r="E2" s="8" t="n"/>
      <c r="F2" s="8" t="n"/>
      <c r="G2" s="11" t="n"/>
      <c r="H2" s="8" t="n"/>
      <c r="I2" s="8" t="n"/>
      <c r="J2" s="8" t="n"/>
      <c r="K2" s="8" t="n"/>
      <c r="L2" s="11" t="inlineStr">
        <is>
          <t>Increased Pricing</t>
        </is>
      </c>
      <c r="M2" s="8" t="n"/>
      <c r="N2" s="8" t="n"/>
    </row>
    <row r="3" ht="32" customHeight="1">
      <c r="A3" s="12" t="inlineStr">
        <is>
          <t>Row Labels</t>
        </is>
      </c>
      <c r="B3" s="12" t="inlineStr">
        <is>
          <t>Description</t>
        </is>
      </c>
      <c r="C3" s="12" t="inlineStr">
        <is>
          <t>UM</t>
        </is>
      </c>
      <c r="D3" s="12" t="inlineStr">
        <is>
          <t>Width (m)</t>
        </is>
      </c>
      <c r="E3" s="12" t="inlineStr">
        <is>
          <t>Length (m)</t>
        </is>
      </c>
      <c r="F3" s="13" t="inlineStr">
        <is>
          <t>Current price</t>
        </is>
      </c>
      <c r="G3" s="12" t="inlineStr">
        <is>
          <t>Increase %</t>
        </is>
      </c>
      <c r="H3" s="14" t="inlineStr">
        <is>
          <t>New price</t>
        </is>
      </c>
    </row>
    <row r="4">
      <c r="A4" s="15" t="inlineStr">
        <is>
          <t>M5332</t>
        </is>
      </c>
      <c r="B4" s="16" t="inlineStr">
        <is>
          <t>MPI 1005 SC EA RS GW REM</t>
        </is>
      </c>
      <c r="C4" s="8" t="inlineStr">
        <is>
          <t>M2</t>
        </is>
      </c>
      <c r="D4" s="8" t="n">
        <v>1.372</v>
      </c>
      <c r="E4" s="8" t="n">
        <v>45.7</v>
      </c>
      <c r="F4" s="17" t="n">
        <v>8.42</v>
      </c>
      <c r="G4" s="18" t="n">
        <v>0</v>
      </c>
      <c r="H4" s="19" t="n">
        <v>8.42</v>
      </c>
    </row>
    <row r="5">
      <c r="A5" s="15" t="inlineStr">
        <is>
          <t>M5046</t>
        </is>
      </c>
      <c r="B5" s="16" t="inlineStr">
        <is>
          <t>DOL 1460 GL CL PER PET</t>
        </is>
      </c>
      <c r="C5" s="8" t="inlineStr">
        <is>
          <t>M2</t>
        </is>
      </c>
      <c r="D5" s="8" t="n">
        <v>1.372</v>
      </c>
      <c r="E5" s="8" t="n">
        <v>45.7</v>
      </c>
      <c r="F5" s="17" t="n">
        <v>8.42</v>
      </c>
      <c r="G5" s="18" t="n">
        <v>0.025</v>
      </c>
      <c r="H5" s="19" t="n">
        <v>8.630000000000001</v>
      </c>
    </row>
    <row r="6">
      <c r="A6" s="15" t="inlineStr">
        <is>
          <t>TC1934</t>
        </is>
      </c>
      <c r="B6" s="16" t="inlineStr">
        <is>
          <t>DOL 1360 GL TRANS PER KR</t>
        </is>
      </c>
      <c r="C6" s="8" t="inlineStr">
        <is>
          <t>M2</t>
        </is>
      </c>
      <c r="D6" s="8" t="n">
        <v>1.372</v>
      </c>
      <c r="E6" s="8" t="n">
        <v>45.7</v>
      </c>
      <c r="F6" s="17" t="n">
        <v>8.44</v>
      </c>
      <c r="G6" s="18" t="n">
        <v>0.045</v>
      </c>
      <c r="H6" s="19" t="n">
        <v>8.82</v>
      </c>
    </row>
    <row r="7">
      <c r="A7" s="15" t="inlineStr">
        <is>
          <t>M3511</t>
        </is>
      </c>
      <c r="B7" s="16" t="inlineStr">
        <is>
          <t>MPI 1005 SC GO LTR PE</t>
        </is>
      </c>
      <c r="C7" s="8" t="inlineStr">
        <is>
          <t>M2</t>
        </is>
      </c>
      <c r="D7" s="8" t="n">
        <v>1.372</v>
      </c>
      <c r="E7" s="8" t="n">
        <v>45.7</v>
      </c>
      <c r="F7" s="17" t="n">
        <v>8.42</v>
      </c>
      <c r="G7" s="18" t="n">
        <v>0</v>
      </c>
      <c r="H7" s="19" t="n">
        <v>8.42</v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G9" s="20" t="inlineStr">
        <is>
          <t xml:space="preserve">Current Pack pricing = $1055.86 </t>
        </is>
      </c>
      <c r="H9" s="20" t="n"/>
      <c r="I9" s="20" t="n"/>
    </row>
    <row r="10">
      <c r="G10" s="21" t="inlineStr">
        <is>
          <t>New pack pricing = $1069.03 ($13.17)</t>
        </is>
      </c>
      <c r="H10" s="21" t="n"/>
      <c r="I10" s="21" t="n"/>
      <c r="J10" s="21" t="n"/>
    </row>
    <row r="13">
      <c r="A13" s="8" t="inlineStr">
        <is>
          <t>Name</t>
        </is>
      </c>
      <c r="B13" s="9" t="inlineStr">
        <is>
          <t>LABEL CONCEPTS PTY LTD (STANDARD ACCOUNT)</t>
        </is>
      </c>
      <c r="C13" s="10" t="n"/>
      <c r="D13" s="10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>
      <c r="A14" s="8" t="n"/>
      <c r="B14" s="8" t="n"/>
      <c r="C14" s="8" t="n"/>
      <c r="D14" s="8" t="n"/>
      <c r="E14" s="8" t="n"/>
      <c r="F14" s="8" t="n"/>
      <c r="G14" s="11" t="n"/>
      <c r="H14" s="8" t="n"/>
      <c r="I14" s="8" t="n"/>
      <c r="J14" s="8" t="n"/>
      <c r="K14" s="8" t="n"/>
      <c r="L14" s="11" t="n"/>
      <c r="M14" s="8" t="n"/>
      <c r="N14" s="8" t="n"/>
    </row>
    <row r="15" ht="32" customHeight="1">
      <c r="A15" s="12" t="inlineStr">
        <is>
          <t>Row Labels</t>
        </is>
      </c>
      <c r="B15" s="12" t="inlineStr">
        <is>
          <t>Description</t>
        </is>
      </c>
      <c r="C15" s="12" t="inlineStr">
        <is>
          <t>UM</t>
        </is>
      </c>
      <c r="D15" s="12" t="inlineStr">
        <is>
          <t>Width (m)</t>
        </is>
      </c>
      <c r="E15" s="12" t="inlineStr">
        <is>
          <t>Length (m)</t>
        </is>
      </c>
      <c r="F15" s="13" t="inlineStr">
        <is>
          <t>Current price</t>
        </is>
      </c>
      <c r="G15" s="12" t="inlineStr">
        <is>
          <t>Increase %</t>
        </is>
      </c>
      <c r="H15" s="14" t="inlineStr">
        <is>
          <t>New price</t>
        </is>
      </c>
      <c r="I15" s="12" t="n"/>
      <c r="J15" s="12" t="n"/>
    </row>
    <row r="16">
      <c r="A16" s="15" t="inlineStr">
        <is>
          <t>AR9250001</t>
        </is>
      </c>
      <c r="B16" s="16" t="inlineStr">
        <is>
          <t>2700/337A GUN GREY JAYCO</t>
        </is>
      </c>
      <c r="C16" s="8" t="inlineStr">
        <is>
          <t>M2</t>
        </is>
      </c>
      <c r="D16" s="8" t="n">
        <v>1.23</v>
      </c>
      <c r="E16" s="8" t="n">
        <v>50</v>
      </c>
      <c r="F16" s="16" t="n">
        <v>9.449999999999999</v>
      </c>
      <c r="G16" s="18" t="n">
        <v>0.015</v>
      </c>
      <c r="H16" s="22" t="n">
        <v>9.59</v>
      </c>
      <c r="I16" s="8">
        <f>(1.23*50)*H16</f>
        <v/>
      </c>
      <c r="J16" s="8" t="n"/>
    </row>
    <row r="17">
      <c r="A17" s="15" t="inlineStr">
        <is>
          <t>MSY5106</t>
        </is>
      </c>
      <c r="B17" s="16" t="inlineStr">
        <is>
          <t>2700/277B SILVER JAYCO 1</t>
        </is>
      </c>
      <c r="C17" s="8" t="inlineStr">
        <is>
          <t>M2</t>
        </is>
      </c>
      <c r="D17" s="8" t="n">
        <v>1.23</v>
      </c>
      <c r="E17" s="8" t="n">
        <v>50</v>
      </c>
      <c r="F17" s="16" t="n">
        <v>9.449999999999999</v>
      </c>
      <c r="G17" s="18" t="n">
        <v>0.015</v>
      </c>
      <c r="H17" s="22" t="n">
        <v>9.59</v>
      </c>
      <c r="I17" s="8" t="n"/>
      <c r="J17" s="8" t="n"/>
    </row>
    <row r="18">
      <c r="A18" s="15" t="inlineStr">
        <is>
          <t>MSY5130</t>
        </is>
      </c>
      <c r="B18" s="16" t="inlineStr">
        <is>
          <t>2700/280B CHARCL JAYCO</t>
        </is>
      </c>
      <c r="C18" s="8" t="inlineStr">
        <is>
          <t>M2</t>
        </is>
      </c>
      <c r="D18" s="8" t="n">
        <v>1.23</v>
      </c>
      <c r="E18" s="8" t="n">
        <v>50</v>
      </c>
      <c r="F18" s="16" t="n">
        <v>9.449999999999999</v>
      </c>
      <c r="G18" s="18" t="n">
        <v>0.015</v>
      </c>
      <c r="H18" s="22" t="n">
        <v>9.59</v>
      </c>
      <c r="I18" s="8" t="n"/>
      <c r="J18" s="8" t="n"/>
    </row>
    <row r="19">
      <c r="A19" s="15" t="inlineStr">
        <is>
          <t>M5332</t>
        </is>
      </c>
      <c r="B19" s="8" t="inlineStr">
        <is>
          <t>MPI 1005 SC EA RS GW REM</t>
        </is>
      </c>
      <c r="C19" s="8" t="inlineStr">
        <is>
          <t>M2</t>
        </is>
      </c>
      <c r="D19" s="8" t="n">
        <v>1.372</v>
      </c>
      <c r="E19" s="8" t="n">
        <v>45.7</v>
      </c>
      <c r="F19" s="16" t="n">
        <v>8.42</v>
      </c>
      <c r="G19" s="18" t="n">
        <v>0</v>
      </c>
      <c r="H19" s="22" t="n">
        <v>8.42</v>
      </c>
      <c r="I19" s="8" t="n"/>
      <c r="J19" s="8" t="n"/>
    </row>
    <row r="20">
      <c r="A20" s="15" t="inlineStr">
        <is>
          <t>M3511</t>
        </is>
      </c>
      <c r="B20" s="8" t="inlineStr">
        <is>
          <t>MPI 1005 SC GO LTR PE</t>
        </is>
      </c>
      <c r="C20" s="8" t="inlineStr">
        <is>
          <t>M2</t>
        </is>
      </c>
      <c r="D20" s="8" t="n">
        <v>1.372</v>
      </c>
      <c r="E20" s="8" t="n">
        <v>45.7</v>
      </c>
      <c r="F20" s="16" t="n">
        <v>8.42</v>
      </c>
      <c r="G20" s="18" t="n">
        <v>0</v>
      </c>
      <c r="H20" s="22" t="n">
        <v>8.42</v>
      </c>
      <c r="I20" s="8" t="n"/>
      <c r="J20" s="8" t="n"/>
    </row>
    <row r="21">
      <c r="A21" s="15" t="inlineStr">
        <is>
          <t>MUC8754</t>
        </is>
      </c>
      <c r="B21" s="8" t="inlineStr">
        <is>
          <t>DOL 4300 GL A/GRF PER KR</t>
        </is>
      </c>
      <c r="C21" s="8" t="inlineStr">
        <is>
          <t>M2</t>
        </is>
      </c>
      <c r="D21" s="8" t="n">
        <v>1.37</v>
      </c>
      <c r="E21" s="8" t="n">
        <v>50</v>
      </c>
      <c r="F21" s="16" t="n">
        <v>10.49</v>
      </c>
      <c r="G21" s="18" t="n">
        <v>0.035</v>
      </c>
      <c r="H21" s="22" t="n">
        <v>10.86</v>
      </c>
      <c r="I21" s="8" t="n"/>
      <c r="J21" s="8" t="n"/>
    </row>
    <row r="22">
      <c r="A22" s="15" t="inlineStr">
        <is>
          <t>MSY5155</t>
        </is>
      </c>
      <c r="B22" s="16" t="inlineStr">
        <is>
          <t>2700/276B RYLBLU JAYCO</t>
        </is>
      </c>
      <c r="C22" s="8" t="inlineStr">
        <is>
          <t>M2</t>
        </is>
      </c>
      <c r="D22" s="8" t="n">
        <v>1.23</v>
      </c>
      <c r="E22" s="8" t="n">
        <v>50</v>
      </c>
      <c r="F22" s="16" t="n">
        <v>9.449999999999999</v>
      </c>
      <c r="G22" s="18" t="n">
        <v>0.015</v>
      </c>
      <c r="H22" s="22" t="n">
        <v>9.59</v>
      </c>
      <c r="I22" s="8" t="n"/>
      <c r="J22" s="8" t="n"/>
    </row>
    <row r="23">
      <c r="A23" s="15" t="inlineStr">
        <is>
          <t>AS1280001</t>
        </is>
      </c>
      <c r="B23" s="16" t="inlineStr">
        <is>
          <t>2700/339A GOLD</t>
        </is>
      </c>
      <c r="C23" s="8" t="inlineStr">
        <is>
          <t>M2</t>
        </is>
      </c>
      <c r="D23" s="8" t="n">
        <v>1.23</v>
      </c>
      <c r="E23" s="8" t="n">
        <v>50</v>
      </c>
      <c r="F23" s="16" t="n">
        <v>9.449999999999999</v>
      </c>
      <c r="G23" s="18" t="n">
        <v>0.015</v>
      </c>
      <c r="H23" s="22" t="n">
        <v>9.59</v>
      </c>
      <c r="I23" s="8" t="n"/>
      <c r="J23" s="8" t="n"/>
    </row>
    <row r="24">
      <c r="A24" s="15" t="inlineStr">
        <is>
          <t>413747A60R</t>
        </is>
      </c>
      <c r="B24" s="8" t="inlineStr">
        <is>
          <t>DOL 1480 MATT CL PER KR</t>
        </is>
      </c>
      <c r="C24" s="8" t="inlineStr">
        <is>
          <t>M2</t>
        </is>
      </c>
      <c r="D24" s="8" t="n">
        <v>1.372</v>
      </c>
      <c r="E24" s="8" t="n">
        <v>45.7</v>
      </c>
      <c r="F24" s="16" t="n">
        <v>12.77</v>
      </c>
      <c r="G24" s="18" t="n">
        <v>0.045</v>
      </c>
      <c r="H24" s="22" t="n">
        <v>13.34</v>
      </c>
      <c r="I24" s="8" t="n"/>
      <c r="J24" s="8" t="n"/>
    </row>
    <row r="25">
      <c r="A25" s="15" t="inlineStr">
        <is>
          <t>TC3054</t>
        </is>
      </c>
      <c r="B25" s="16" t="inlineStr">
        <is>
          <t>2600/460A ORANGE JAYCO</t>
        </is>
      </c>
      <c r="C25" s="8" t="inlineStr">
        <is>
          <t>M2</t>
        </is>
      </c>
      <c r="D25" s="8" t="n">
        <v>1.23</v>
      </c>
      <c r="E25" s="8" t="n">
        <v>50</v>
      </c>
      <c r="F25" s="16" t="n">
        <v>9.449999999999999</v>
      </c>
      <c r="G25" s="18" t="n">
        <v>0.015</v>
      </c>
      <c r="H25" s="22" t="n">
        <v>9.59</v>
      </c>
      <c r="I25" s="8" t="n"/>
      <c r="J25" s="8" t="n"/>
    </row>
    <row r="26">
      <c r="A26" s="15" t="n">
        <v>41084</v>
      </c>
      <c r="B26" s="8" t="inlineStr">
        <is>
          <t>MPI 2105 GL WH EA RS LTR</t>
        </is>
      </c>
      <c r="C26" s="8" t="inlineStr">
        <is>
          <t>M2</t>
        </is>
      </c>
      <c r="D26" s="8" t="n">
        <v>1.372</v>
      </c>
      <c r="E26" s="8" t="n">
        <v>45.7</v>
      </c>
      <c r="F26" s="16" t="n">
        <v>6.08</v>
      </c>
      <c r="G26" s="18" t="n">
        <v>0.035</v>
      </c>
      <c r="H26" s="22" t="n">
        <v>6.29</v>
      </c>
      <c r="I26" s="8" t="n"/>
      <c r="J26" s="8" t="n"/>
    </row>
    <row r="27">
      <c r="A27" s="15" t="inlineStr">
        <is>
          <t>M5046</t>
        </is>
      </c>
      <c r="B27" s="8" t="inlineStr">
        <is>
          <t>DOL 1460 GL CL PER PET</t>
        </is>
      </c>
      <c r="C27" s="8" t="inlineStr">
        <is>
          <t>M2</t>
        </is>
      </c>
      <c r="D27" s="8" t="n">
        <v>1.372</v>
      </c>
      <c r="E27" s="8" t="n">
        <v>45.7</v>
      </c>
      <c r="F27" s="16" t="n">
        <v>12.77</v>
      </c>
      <c r="G27" s="18" t="n">
        <v>0.045</v>
      </c>
      <c r="H27" s="22" t="n">
        <v>13.34</v>
      </c>
      <c r="I27" s="8" t="n"/>
      <c r="J27" s="8" t="n"/>
    </row>
    <row r="28">
      <c r="A28" s="15" t="inlineStr">
        <is>
          <t>AV9390001</t>
        </is>
      </c>
      <c r="B28" s="16" t="inlineStr">
        <is>
          <t>2600/504A GREEN JAYCO</t>
        </is>
      </c>
      <c r="C28" s="8" t="inlineStr">
        <is>
          <t>M2</t>
        </is>
      </c>
      <c r="D28" s="8" t="n">
        <v>1.23</v>
      </c>
      <c r="E28" s="8" t="n">
        <v>50</v>
      </c>
      <c r="F28" s="16" t="n">
        <v>9.449999999999999</v>
      </c>
      <c r="G28" s="18" t="n">
        <v>0.015</v>
      </c>
      <c r="H28" s="22" t="n">
        <v>9.59</v>
      </c>
      <c r="I28" s="8" t="n"/>
      <c r="J28" s="8" t="n"/>
    </row>
    <row r="29">
      <c r="A29" s="15" t="inlineStr">
        <is>
          <t>MUB9308</t>
        </is>
      </c>
      <c r="B29" s="8" t="inlineStr">
        <is>
          <t>FASFITI GL CLR PER KR</t>
        </is>
      </c>
      <c r="C29" s="8" t="inlineStr">
        <is>
          <t>M2</t>
        </is>
      </c>
      <c r="D29" s="8" t="n">
        <v>1.23</v>
      </c>
      <c r="E29" s="8" t="n">
        <v>50</v>
      </c>
      <c r="F29" s="16" t="n">
        <v>9.69</v>
      </c>
      <c r="G29" s="18" t="n">
        <v>0.035</v>
      </c>
      <c r="H29" s="22" t="n">
        <v>10.03</v>
      </c>
      <c r="I29" s="8" t="n"/>
      <c r="J29" s="8" t="n"/>
    </row>
    <row r="30">
      <c r="A30" s="15" t="inlineStr">
        <is>
          <t>AS3280001</t>
        </is>
      </c>
      <c r="B30" s="16" t="inlineStr">
        <is>
          <t>2700/342A COPPER M JAYCO</t>
        </is>
      </c>
      <c r="C30" s="8" t="inlineStr">
        <is>
          <t>M2</t>
        </is>
      </c>
      <c r="D30" s="8" t="n">
        <v>1.23</v>
      </c>
      <c r="E30" s="8" t="n">
        <v>50</v>
      </c>
      <c r="F30" s="16" t="n">
        <v>9.449999999999999</v>
      </c>
      <c r="G30" s="18" t="n">
        <v>0.015</v>
      </c>
      <c r="H30" s="22" t="n">
        <v>9.59</v>
      </c>
      <c r="I30" s="8" t="n"/>
      <c r="J30" s="8" t="n"/>
    </row>
    <row r="31">
      <c r="A31" s="15" t="inlineStr">
        <is>
          <t>M3790</t>
        </is>
      </c>
      <c r="B31" s="8" t="inlineStr">
        <is>
          <t>400 GLOSS WHITE PERM PE</t>
        </is>
      </c>
      <c r="C31" s="8" t="inlineStr">
        <is>
          <t>EA</t>
        </is>
      </c>
      <c r="D31" s="8" t="n">
        <v>1</v>
      </c>
      <c r="E31" s="8" t="n">
        <v>760</v>
      </c>
      <c r="F31" s="16" t="n">
        <v>1.92</v>
      </c>
      <c r="G31" s="18" t="n">
        <v>0.02</v>
      </c>
      <c r="H31" s="22" t="n">
        <v>1.96</v>
      </c>
      <c r="I31" s="8" t="n"/>
      <c r="J31" s="8" t="n"/>
    </row>
    <row r="32">
      <c r="A32" s="15" t="inlineStr">
        <is>
          <t>TC1934</t>
        </is>
      </c>
      <c r="B32" s="8" t="inlineStr">
        <is>
          <t>DOL 1360 GL TRANS PER KR</t>
        </is>
      </c>
      <c r="C32" s="8" t="inlineStr">
        <is>
          <t>M2</t>
        </is>
      </c>
      <c r="D32" s="8" t="n">
        <v>1.372</v>
      </c>
      <c r="E32" s="8" t="n">
        <v>45.7</v>
      </c>
      <c r="F32" s="16" t="n">
        <v>11.61</v>
      </c>
      <c r="G32" s="18" t="n">
        <v>0.045</v>
      </c>
      <c r="H32" s="22" t="n">
        <v>12.13</v>
      </c>
      <c r="I32" s="8" t="n"/>
      <c r="J32" s="8" t="n"/>
    </row>
    <row r="33">
      <c r="A33" s="15" t="inlineStr">
        <is>
          <t>BB4320001</t>
        </is>
      </c>
      <c r="B33" s="16" t="inlineStr">
        <is>
          <t>2700/381A BLACK M JAYCO</t>
        </is>
      </c>
      <c r="C33" s="8" t="inlineStr">
        <is>
          <t>M2</t>
        </is>
      </c>
      <c r="D33" s="8" t="n">
        <v>1.23</v>
      </c>
      <c r="E33" s="8" t="n">
        <v>50</v>
      </c>
      <c r="F33" s="16" t="n">
        <v>9.449999999999999</v>
      </c>
      <c r="G33" s="18" t="n">
        <v>0.015</v>
      </c>
      <c r="H33" s="22" t="n">
        <v>9.59</v>
      </c>
      <c r="I33" s="8" t="n"/>
      <c r="J33" s="8" t="n"/>
    </row>
    <row r="34">
      <c r="A34" s="15" t="n">
        <v>3790</v>
      </c>
      <c r="B34" s="8" t="inlineStr">
        <is>
          <t>SERILUX 72100 GW PER PE</t>
        </is>
      </c>
      <c r="C34" s="8" t="inlineStr">
        <is>
          <t>EA</t>
        </is>
      </c>
      <c r="D34" s="8" t="n">
        <v>1</v>
      </c>
      <c r="E34" s="8" t="n">
        <v>760</v>
      </c>
      <c r="F34" s="16" t="n">
        <v>1.92</v>
      </c>
      <c r="G34" s="18" t="n">
        <v>0.02</v>
      </c>
      <c r="H34" s="22" t="n">
        <v>1.96</v>
      </c>
      <c r="I34" s="8" t="n"/>
      <c r="J34" s="8" t="n"/>
    </row>
    <row r="35">
      <c r="A35" s="15" t="inlineStr">
        <is>
          <t>TC1942</t>
        </is>
      </c>
      <c r="B35" s="8" t="inlineStr">
        <is>
          <t>DOL 1060 GL TRANS PER KR</t>
        </is>
      </c>
      <c r="C35" s="8" t="inlineStr">
        <is>
          <t>M2</t>
        </is>
      </c>
      <c r="D35" s="8" t="n">
        <v>1.372</v>
      </c>
      <c r="E35" s="8" t="n">
        <v>45.7</v>
      </c>
      <c r="F35" s="16" t="n">
        <v>10.63</v>
      </c>
      <c r="G35" s="18" t="n">
        <v>0.045</v>
      </c>
      <c r="H35" s="22" t="n">
        <v>11.11</v>
      </c>
      <c r="I35" s="8" t="n"/>
      <c r="J35" s="8" t="n"/>
    </row>
    <row r="36">
      <c r="A36" s="15" t="n">
        <v>1226</v>
      </c>
      <c r="B36" s="8" t="inlineStr">
        <is>
          <t>SERILUX 72101 MW REM KR</t>
        </is>
      </c>
      <c r="C36" s="8" t="inlineStr">
        <is>
          <t>EA</t>
        </is>
      </c>
      <c r="D36" s="8" t="n">
        <v>1</v>
      </c>
      <c r="E36" s="8" t="n">
        <v>760</v>
      </c>
      <c r="F36" s="16" t="n">
        <v>2.22</v>
      </c>
      <c r="G36" s="18" t="n">
        <v>0.02</v>
      </c>
      <c r="H36" s="22" t="n">
        <v>2.26</v>
      </c>
      <c r="I36" s="8" t="n"/>
      <c r="J36" s="8" t="n"/>
    </row>
    <row r="37">
      <c r="A37" s="15" t="inlineStr">
        <is>
          <t>M41027</t>
        </is>
      </c>
      <c r="B37" s="8" t="inlineStr">
        <is>
          <t>DOL 1360 GL TRAN PER PET</t>
        </is>
      </c>
      <c r="C37" s="8" t="inlineStr">
        <is>
          <t>M2</t>
        </is>
      </c>
      <c r="D37" s="8" t="n">
        <v>1.372</v>
      </c>
      <c r="E37" s="8" t="n">
        <v>45.7</v>
      </c>
      <c r="F37" s="16" t="n">
        <v>11.61</v>
      </c>
      <c r="G37" s="18" t="n">
        <v>0.045</v>
      </c>
      <c r="H37" s="22" t="n">
        <v>12.13</v>
      </c>
      <c r="I37" s="8" t="n"/>
      <c r="J37" s="8" t="n"/>
    </row>
    <row r="38">
      <c r="A38" s="15" t="n">
        <v>41121</v>
      </c>
      <c r="B38" s="8" t="inlineStr">
        <is>
          <t>MPI 2105 GL WH EA RS LTR</t>
        </is>
      </c>
      <c r="C38" s="8" t="inlineStr">
        <is>
          <t>M2</t>
        </is>
      </c>
      <c r="D38" s="8" t="n">
        <v>1.524</v>
      </c>
      <c r="E38" s="8" t="n">
        <v>45.7</v>
      </c>
      <c r="F38" s="16" t="n">
        <v>6.08</v>
      </c>
      <c r="G38" s="18" t="n">
        <v>0.035</v>
      </c>
      <c r="H38" s="22" t="n">
        <v>6.29</v>
      </c>
      <c r="I38" s="8" t="n"/>
      <c r="J38" s="8" t="n"/>
    </row>
    <row r="39">
      <c r="A39" s="15" t="inlineStr">
        <is>
          <t>MUC9505</t>
        </is>
      </c>
      <c r="B39" s="8" t="inlineStr">
        <is>
          <t>DOL 2000 GL TRANS PER KR</t>
        </is>
      </c>
      <c r="C39" s="8" t="inlineStr">
        <is>
          <t>M2</t>
        </is>
      </c>
      <c r="D39" s="8" t="n">
        <v>1.37</v>
      </c>
      <c r="E39" s="8" t="n">
        <v>50</v>
      </c>
      <c r="F39" s="16" t="n">
        <v>5.39</v>
      </c>
      <c r="G39" s="18" t="n">
        <v>0.04</v>
      </c>
      <c r="H39" s="22" t="n">
        <v>5.61</v>
      </c>
      <c r="I39" s="8" t="n"/>
      <c r="J39" s="8" t="n"/>
    </row>
    <row r="40">
      <c r="A40" s="15" t="inlineStr">
        <is>
          <t>MYB2882</t>
        </is>
      </c>
      <c r="B40" s="8" t="inlineStr">
        <is>
          <t>DOL 3100 MT TRANS PER KR</t>
        </is>
      </c>
      <c r="C40" s="8" t="inlineStr">
        <is>
          <t>M2</t>
        </is>
      </c>
      <c r="D40" s="8" t="n">
        <v>1.37</v>
      </c>
      <c r="E40" s="8" t="n">
        <v>50</v>
      </c>
      <c r="F40" s="16" t="n">
        <v>2.35</v>
      </c>
      <c r="G40" s="18" t="n">
        <v>0.045</v>
      </c>
      <c r="H40" s="22" t="n">
        <v>2.46</v>
      </c>
      <c r="I40" s="8" t="n"/>
      <c r="J40" s="8" t="n"/>
    </row>
    <row r="41">
      <c r="A41" s="15" t="inlineStr">
        <is>
          <t>M29304</t>
        </is>
      </c>
      <c r="B41" s="8" t="inlineStr">
        <is>
          <t>DOL 1060 GL TRAN PER PET</t>
        </is>
      </c>
      <c r="C41" s="8" t="inlineStr">
        <is>
          <t>M2</t>
        </is>
      </c>
      <c r="D41" s="8" t="n">
        <v>1.524</v>
      </c>
      <c r="E41" s="8" t="n">
        <v>45.7</v>
      </c>
      <c r="F41" s="16" t="n">
        <v>10.63</v>
      </c>
      <c r="G41" s="18" t="n">
        <v>0.045</v>
      </c>
      <c r="H41" s="22" t="n">
        <v>11.11</v>
      </c>
      <c r="I41" s="8" t="n"/>
      <c r="J41" s="8" t="n"/>
    </row>
    <row r="42">
      <c r="A42" s="15" t="inlineStr">
        <is>
          <t>AV6850001</t>
        </is>
      </c>
      <c r="B42" s="16" t="inlineStr">
        <is>
          <t>2700/357A BR BLU M JAYCO</t>
        </is>
      </c>
      <c r="C42" s="8" t="inlineStr">
        <is>
          <t>M2</t>
        </is>
      </c>
      <c r="D42" s="8" t="n">
        <v>1.23</v>
      </c>
      <c r="E42" s="8" t="n">
        <v>50</v>
      </c>
      <c r="F42" s="16" t="n">
        <v>9.449999999999999</v>
      </c>
      <c r="G42" s="18" t="n">
        <v>0.015</v>
      </c>
      <c r="H42" s="22" t="n">
        <v>9.59</v>
      </c>
      <c r="I42" s="8" t="n"/>
      <c r="J42" s="8" t="n"/>
    </row>
    <row r="43">
      <c r="A43" s="15" t="inlineStr">
        <is>
          <t>M2797</t>
        </is>
      </c>
      <c r="B43" s="8" t="inlineStr">
        <is>
          <t>440 GLOSS TRANSP PERM PE</t>
        </is>
      </c>
      <c r="C43" s="8" t="inlineStr">
        <is>
          <t>EA</t>
        </is>
      </c>
      <c r="D43" s="8" t="n">
        <v>1</v>
      </c>
      <c r="E43" s="8" t="n">
        <v>760</v>
      </c>
      <c r="F43" s="16" t="n">
        <v>1.87</v>
      </c>
      <c r="G43" s="18" t="n">
        <v>0.02</v>
      </c>
      <c r="H43" s="22" t="n">
        <v>1.91</v>
      </c>
      <c r="I43" s="8" t="n"/>
      <c r="J43" s="8" t="n"/>
    </row>
    <row r="44">
      <c r="A44" s="15" t="inlineStr">
        <is>
          <t>MUD2806</t>
        </is>
      </c>
      <c r="B44" s="8" t="inlineStr">
        <is>
          <t>DOL 2100 MT TRANS PER KR</t>
        </is>
      </c>
      <c r="C44" s="8" t="inlineStr">
        <is>
          <t>M2</t>
        </is>
      </c>
      <c r="D44" s="8" t="n">
        <v>1.37</v>
      </c>
      <c r="E44" s="8" t="n">
        <v>50</v>
      </c>
      <c r="F44" s="16" t="n">
        <v>5.39</v>
      </c>
      <c r="G44" s="18" t="n">
        <v>0.04</v>
      </c>
      <c r="H44" s="22" t="n">
        <v>5.61</v>
      </c>
      <c r="I44" s="8" t="n"/>
      <c r="J44" s="8" t="n"/>
    </row>
    <row r="45">
      <c r="A45" s="15" t="n">
        <v>2797</v>
      </c>
      <c r="B45" s="8" t="inlineStr">
        <is>
          <t>SERILUX 70100 GC PER PE</t>
        </is>
      </c>
      <c r="C45" s="8" t="inlineStr">
        <is>
          <t>EA</t>
        </is>
      </c>
      <c r="D45" s="8" t="n">
        <v>1</v>
      </c>
      <c r="E45" s="8" t="n">
        <v>760</v>
      </c>
      <c r="F45" s="16" t="n">
        <v>1.87</v>
      </c>
      <c r="G45" s="18" t="n">
        <v>0.02</v>
      </c>
      <c r="H45" s="22" t="n">
        <v>1.91</v>
      </c>
      <c r="I45" s="8" t="n"/>
      <c r="J45" s="8" t="n"/>
    </row>
    <row r="46">
      <c r="A46" s="15" t="n">
        <v>1223</v>
      </c>
      <c r="B46" s="8" t="inlineStr">
        <is>
          <t>SERILUX 72101 MW PER KR</t>
        </is>
      </c>
      <c r="C46" s="8" t="inlineStr">
        <is>
          <t>EA</t>
        </is>
      </c>
      <c r="D46" s="8" t="n">
        <v>1</v>
      </c>
      <c r="E46" s="8" t="n">
        <v>760</v>
      </c>
      <c r="F46" s="16" t="n">
        <v>2.1</v>
      </c>
      <c r="G46" s="18" t="n">
        <v>0.02</v>
      </c>
      <c r="H46" s="22" t="n">
        <v>2.14</v>
      </c>
      <c r="I46" s="8" t="n"/>
      <c r="J46" s="8" t="n"/>
    </row>
    <row r="47">
      <c r="A47" s="15" t="inlineStr">
        <is>
          <t>M3601</t>
        </is>
      </c>
      <c r="B47" s="8" t="inlineStr">
        <is>
          <t>DOL 1080 MT TRANS PER KR</t>
        </is>
      </c>
      <c r="C47" s="8" t="inlineStr">
        <is>
          <t>M2</t>
        </is>
      </c>
      <c r="D47" s="8" t="n">
        <v>1.372</v>
      </c>
      <c r="E47" s="8" t="n">
        <v>45.7</v>
      </c>
      <c r="F47" s="16" t="n">
        <v>10.63</v>
      </c>
      <c r="G47" s="18" t="n">
        <v>0.045</v>
      </c>
      <c r="H47" s="22" t="n">
        <v>11.11</v>
      </c>
      <c r="I47" s="8" t="n"/>
      <c r="J47" s="8" t="n"/>
    </row>
    <row r="48">
      <c r="A48" s="15" t="inlineStr">
        <is>
          <t>MFA3315</t>
        </is>
      </c>
      <c r="B48" s="8" t="inlineStr">
        <is>
          <t>900 SCREEN GL WH PER PE</t>
        </is>
      </c>
      <c r="C48" s="8" t="inlineStr">
        <is>
          <t>M2</t>
        </is>
      </c>
      <c r="D48" s="8" t="n">
        <v>1.23</v>
      </c>
      <c r="E48" s="8" t="n">
        <v>50</v>
      </c>
      <c r="F48" s="16" t="n">
        <v>12.2</v>
      </c>
      <c r="G48" s="18" t="n">
        <v>0.035</v>
      </c>
      <c r="H48" s="22" t="n">
        <v>12.63</v>
      </c>
      <c r="I48" s="8" t="n"/>
      <c r="J48" s="8" t="n"/>
    </row>
    <row r="49">
      <c r="A49" s="15" t="inlineStr">
        <is>
          <t>MSY5148</t>
        </is>
      </c>
      <c r="B49" s="16" t="inlineStr">
        <is>
          <t>2700/278B SATGLD JAYCO 1</t>
        </is>
      </c>
      <c r="C49" s="8" t="inlineStr">
        <is>
          <t>M2</t>
        </is>
      </c>
      <c r="D49" s="8" t="n">
        <v>1.23</v>
      </c>
      <c r="E49" s="8" t="n">
        <v>50</v>
      </c>
      <c r="F49" s="16" t="n">
        <v>9.449999999999999</v>
      </c>
      <c r="G49" s="18" t="n">
        <v>0.015</v>
      </c>
      <c r="H49" s="22" t="n">
        <v>9.59</v>
      </c>
      <c r="I49" s="8" t="n"/>
      <c r="J49" s="8" t="n"/>
    </row>
    <row r="50">
      <c r="A50" s="15" t="inlineStr">
        <is>
          <t>SE00306.762</t>
        </is>
      </c>
      <c r="B50" s="8" t="inlineStr">
        <is>
          <t>400 SUPERTAK GW PER KR</t>
        </is>
      </c>
      <c r="C50" s="8" t="inlineStr">
        <is>
          <t>EA</t>
        </is>
      </c>
      <c r="D50" s="8" t="n">
        <v>1</v>
      </c>
      <c r="E50" s="8" t="n">
        <v>760</v>
      </c>
      <c r="F50" s="16" t="n">
        <v>2.25</v>
      </c>
      <c r="G50" s="18" t="n">
        <v>0.02</v>
      </c>
      <c r="H50" s="22" t="n">
        <v>2.3</v>
      </c>
      <c r="I50" s="8" t="n"/>
      <c r="J50" s="8" t="n"/>
    </row>
    <row r="51">
      <c r="A51" s="15" t="inlineStr">
        <is>
          <t>CB8690002</t>
        </is>
      </c>
      <c r="B51" s="8" t="inlineStr">
        <is>
          <t>MPI 2040 GC PER PE</t>
        </is>
      </c>
      <c r="C51" s="8" t="inlineStr">
        <is>
          <t>M2</t>
        </is>
      </c>
      <c r="D51" s="8" t="n">
        <v>1.37</v>
      </c>
      <c r="E51" s="8" t="n">
        <v>50</v>
      </c>
      <c r="F51" s="16" t="n">
        <v>4.85</v>
      </c>
      <c r="G51" s="18" t="n">
        <v>0.035</v>
      </c>
      <c r="H51" s="22" t="n">
        <v>5.02</v>
      </c>
      <c r="I51" s="8" t="n"/>
      <c r="J51" s="8" t="n"/>
    </row>
    <row r="52">
      <c r="A52" s="15" t="inlineStr">
        <is>
          <t>MXD9374</t>
        </is>
      </c>
      <c r="B52" s="8" t="inlineStr">
        <is>
          <t>MPI DUSTED GLASS EA RS</t>
        </is>
      </c>
      <c r="C52" s="8" t="inlineStr">
        <is>
          <t>M2</t>
        </is>
      </c>
      <c r="D52" s="8" t="n">
        <v>1.37</v>
      </c>
      <c r="E52" s="8" t="n">
        <v>50</v>
      </c>
      <c r="F52" s="16" t="n">
        <v>8.16</v>
      </c>
      <c r="G52" s="18" t="n">
        <v>0.035</v>
      </c>
      <c r="H52" s="22" t="n">
        <v>8.449999999999999</v>
      </c>
      <c r="I52" s="8" t="n"/>
      <c r="J52" s="8" t="n"/>
    </row>
    <row r="53">
      <c r="A53" s="15" t="inlineStr">
        <is>
          <t>M41240</t>
        </is>
      </c>
      <c r="B53" s="8" t="inlineStr">
        <is>
          <t>MPI 2923 EA MW G/PER PE</t>
        </is>
      </c>
      <c r="C53" s="8" t="inlineStr">
        <is>
          <t>M2</t>
        </is>
      </c>
      <c r="D53" s="8" t="n">
        <v>1.372</v>
      </c>
      <c r="E53" s="8" t="n">
        <v>45.7</v>
      </c>
      <c r="F53" s="16" t="n">
        <v>5.28</v>
      </c>
      <c r="G53" s="18" t="n">
        <v>0.025</v>
      </c>
      <c r="H53" s="22" t="n">
        <v>5.41</v>
      </c>
      <c r="I53" s="8" t="n"/>
      <c r="J53" s="8" t="n"/>
    </row>
    <row r="54">
      <c r="A54" s="15" t="inlineStr">
        <is>
          <t>MFA3398</t>
        </is>
      </c>
      <c r="B54" s="8" t="inlineStr">
        <is>
          <t>6905 SUPRTK GL WH PER KR</t>
        </is>
      </c>
      <c r="C54" s="8" t="inlineStr">
        <is>
          <t>M2</t>
        </is>
      </c>
      <c r="D54" s="8" t="n">
        <v>1</v>
      </c>
      <c r="E54" s="8" t="n">
        <v>50</v>
      </c>
      <c r="F54" s="16" t="n">
        <v>14.91</v>
      </c>
      <c r="G54" s="18" t="n">
        <v>0</v>
      </c>
      <c r="H54" s="22" t="n">
        <v>14.91</v>
      </c>
      <c r="I54" s="8" t="n"/>
      <c r="J54" s="8" t="n"/>
    </row>
    <row r="55">
      <c r="A55" s="15" t="inlineStr">
        <is>
          <t>MZA1040</t>
        </is>
      </c>
      <c r="B55" s="8" t="inlineStr">
        <is>
          <t>BLUE FELT SQUEEGEE</t>
        </is>
      </c>
      <c r="C55" s="8" t="inlineStr">
        <is>
          <t>BX</t>
        </is>
      </c>
      <c r="D55" s="8" t="n">
        <v>0</v>
      </c>
      <c r="E55" s="8" t="n">
        <v>0</v>
      </c>
      <c r="F55" s="16" t="n">
        <v>36.48</v>
      </c>
      <c r="G55" s="18" t="n">
        <v>0.045</v>
      </c>
      <c r="H55" s="22" t="n">
        <v>38.12</v>
      </c>
      <c r="I55" s="8" t="n"/>
      <c r="J55" s="8" t="n"/>
    </row>
    <row r="56">
      <c r="A56" s="15" t="inlineStr">
        <is>
          <t>MZA1206</t>
        </is>
      </c>
      <c r="B56" s="8" t="inlineStr">
        <is>
          <t>AVERY CLEANER 1LT(EACH)</t>
        </is>
      </c>
      <c r="C56" s="8" t="inlineStr">
        <is>
          <t>EA</t>
        </is>
      </c>
      <c r="D56" s="8" t="n">
        <v>0</v>
      </c>
      <c r="E56" s="8" t="n">
        <v>0</v>
      </c>
      <c r="F56" s="16" t="n">
        <v>9.76</v>
      </c>
      <c r="G56" s="18" t="n">
        <v>0.055</v>
      </c>
      <c r="H56" s="22" t="n">
        <v>10.3</v>
      </c>
      <c r="I56" s="8" t="n"/>
      <c r="J56" s="8" t="n"/>
    </row>
    <row r="57">
      <c r="A57" s="15" t="inlineStr">
        <is>
          <t>MZA1164</t>
        </is>
      </c>
      <c r="B57" s="8" t="inlineStr">
        <is>
          <t>APPLICATION GLOVE (ea)</t>
        </is>
      </c>
      <c r="C57" s="8" t="inlineStr">
        <is>
          <t>EA</t>
        </is>
      </c>
      <c r="D57" s="8" t="n">
        <v>0</v>
      </c>
      <c r="E57" s="8" t="n">
        <v>0</v>
      </c>
      <c r="F57" s="16" t="n">
        <v>4.49</v>
      </c>
      <c r="G57" s="18" t="n">
        <v>0.045</v>
      </c>
      <c r="H57" s="22" t="n">
        <v>4.69</v>
      </c>
      <c r="I57" s="8" t="n"/>
      <c r="J57" s="8" t="n"/>
    </row>
    <row r="58">
      <c r="A58" s="15" t="inlineStr">
        <is>
          <t>DI8840012</t>
        </is>
      </c>
      <c r="B58" s="8" t="inlineStr">
        <is>
          <t>MPI 2006 HI-TACK</t>
        </is>
      </c>
      <c r="C58" s="8" t="inlineStr">
        <is>
          <t>M2</t>
        </is>
      </c>
      <c r="D58" s="8" t="n">
        <v>1.37</v>
      </c>
      <c r="E58" s="8" t="n">
        <v>25</v>
      </c>
      <c r="F58" s="16" t="n">
        <v>7.25</v>
      </c>
      <c r="G58" s="18" t="n">
        <v>0.035</v>
      </c>
      <c r="H58" s="22" t="n">
        <v>7.5</v>
      </c>
      <c r="I58" s="8" t="n"/>
      <c r="J58" s="8" t="n"/>
    </row>
    <row r="59">
      <c r="A59" s="15" t="inlineStr">
        <is>
          <t>XE1040</t>
        </is>
      </c>
      <c r="B59" s="8" t="inlineStr">
        <is>
          <t>SPARE BLADES 45 PER PACK</t>
        </is>
      </c>
      <c r="C59" s="8" t="inlineStr">
        <is>
          <t>PK</t>
        </is>
      </c>
      <c r="D59" s="8" t="n">
        <v>0</v>
      </c>
      <c r="E59" s="8" t="n">
        <v>0</v>
      </c>
      <c r="F59" s="16" t="n">
        <v>34</v>
      </c>
      <c r="G59" s="18" t="n">
        <v>0.045</v>
      </c>
      <c r="H59" s="22" t="n">
        <v>35.53</v>
      </c>
      <c r="I59" s="8" t="n"/>
      <c r="J59" s="8" t="n"/>
    </row>
    <row r="60">
      <c r="A60" s="15" t="inlineStr">
        <is>
          <t>CA3750002</t>
        </is>
      </c>
      <c r="B60" s="8" t="inlineStr">
        <is>
          <t>AVERY CLEANER 5L (EACH)</t>
        </is>
      </c>
      <c r="C60" s="8" t="inlineStr">
        <is>
          <t>EA</t>
        </is>
      </c>
      <c r="D60" s="8" t="n">
        <v>0</v>
      </c>
      <c r="E60" s="8" t="n">
        <v>0</v>
      </c>
      <c r="F60" s="16" t="n">
        <v>45.66</v>
      </c>
      <c r="G60" s="18" t="n">
        <v>0</v>
      </c>
      <c r="H60" s="22" t="n">
        <v>45.66</v>
      </c>
      <c r="I60" s="8" t="n"/>
      <c r="J60" s="8" t="n"/>
    </row>
    <row r="61">
      <c r="A61" s="15" t="inlineStr">
        <is>
          <t>MXD5984</t>
        </is>
      </c>
      <c r="B61" s="8" t="inlineStr">
        <is>
          <t>AVERY MAGNET (EACH)</t>
        </is>
      </c>
      <c r="C61" s="8" t="inlineStr">
        <is>
          <t>EA</t>
        </is>
      </c>
      <c r="D61" s="8" t="n">
        <v>0</v>
      </c>
      <c r="E61" s="8" t="n">
        <v>0</v>
      </c>
      <c r="F61" s="16" t="n">
        <v>11.33</v>
      </c>
      <c r="G61" s="18" t="n">
        <v>0.045</v>
      </c>
      <c r="H61" s="22" t="n">
        <v>11.84</v>
      </c>
      <c r="I61" s="8" t="n"/>
      <c r="J61" s="8" t="n"/>
    </row>
    <row r="62">
      <c r="A62" s="15" t="inlineStr">
        <is>
          <t>XD9275</t>
        </is>
      </c>
      <c r="B62" s="8" t="inlineStr">
        <is>
          <t>AVERY CUTTER (EACH)</t>
        </is>
      </c>
      <c r="C62" s="8" t="inlineStr">
        <is>
          <t>EA</t>
        </is>
      </c>
      <c r="D62" s="8" t="n">
        <v>0</v>
      </c>
      <c r="E62" s="8" t="n">
        <v>0</v>
      </c>
      <c r="F62" s="16" t="n">
        <v>9.710000000000001</v>
      </c>
      <c r="G62" s="18" t="n">
        <v>0.045</v>
      </c>
      <c r="H62" s="22" t="n">
        <v>10.15</v>
      </c>
      <c r="I62" s="8" t="n"/>
      <c r="J62" s="8" t="n"/>
    </row>
    <row r="64">
      <c r="H64" s="20" t="inlineStr">
        <is>
          <t>Current Jayco pricing = $581.18 per roll</t>
        </is>
      </c>
      <c r="I64" s="20" t="n"/>
      <c r="J64" s="20" t="n"/>
      <c r="K64" s="20" t="n"/>
    </row>
    <row r="65">
      <c r="H65" s="21" t="inlineStr">
        <is>
          <t>New Jayco pricing = $589.78 ($8.60)</t>
        </is>
      </c>
      <c r="I65" s="21" t="n"/>
      <c r="J65" s="21" t="n"/>
      <c r="K65" s="21" t="n"/>
    </row>
  </sheetData>
  <pageMargins left="0.75" right="0.75" top="1" bottom="1" header="0.5" footer="0.5"/>
  <pageSetup orientation="portrait" paperSize="9" horizontalDpi="4294967292" verticalDpi="429496729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B6" sqref="B6"/>
    </sheetView>
  </sheetViews>
  <sheetFormatPr baseColWidth="10" defaultColWidth="15.1640625" defaultRowHeight="24" customHeight="1"/>
  <cols>
    <col width="17.1640625" customWidth="1" style="44" min="1" max="1"/>
    <col width="45.6640625" customWidth="1" style="34" min="2" max="2"/>
    <col width="18.1640625" customWidth="1" style="34" min="3" max="3"/>
    <col width="18.1640625" customWidth="1" style="40" min="4" max="4"/>
    <col width="65.1640625" customWidth="1" style="1" min="5" max="5"/>
    <col width="23.5" customWidth="1" style="1" min="6" max="6"/>
    <col width="15.1640625" customWidth="1" style="1" min="7" max="16384"/>
  </cols>
  <sheetData>
    <row r="1" ht="44" customFormat="1" customHeight="1" s="27">
      <c r="A1" s="23" t="inlineStr">
        <is>
          <t>STOCK CODE</t>
        </is>
      </c>
      <c r="B1" s="24" t="inlineStr">
        <is>
          <t>DESCRIPTION</t>
        </is>
      </c>
      <c r="C1" s="25" t="inlineStr">
        <is>
          <t>SIZE</t>
        </is>
      </c>
      <c r="D1" s="26" t="inlineStr">
        <is>
          <t>PRICE M2            (inc M/Up)</t>
        </is>
      </c>
      <c r="E1" s="24" t="inlineStr">
        <is>
          <t>NOTES</t>
        </is>
      </c>
      <c r="F1" s="24" t="inlineStr">
        <is>
          <t>SUPPLIER</t>
        </is>
      </c>
    </row>
    <row r="2" ht="40" customFormat="1" customHeight="1" s="27">
      <c r="A2" s="28" t="inlineStr">
        <is>
          <t xml:space="preserve">MPI1005629   </t>
        </is>
      </c>
      <c r="B2" s="2" t="inlineStr">
        <is>
          <t>MPI 1105 Easy Apply (NEW)</t>
        </is>
      </c>
      <c r="C2" s="29" t="inlineStr">
        <is>
          <t>1370mm or 1520mm x 45.7m</t>
        </is>
      </c>
      <c r="D2" s="30" t="n"/>
      <c r="E2" s="2" t="inlineStr">
        <is>
          <t>An Easy Apply stock used on vehicle wraps</t>
        </is>
      </c>
      <c r="F2" s="2" t="inlineStr">
        <is>
          <t>Avery</t>
        </is>
      </c>
    </row>
    <row r="3" ht="40" customFormat="1" customHeight="1" s="27">
      <c r="A3" s="28" t="inlineStr">
        <is>
          <t>DOLPOLY</t>
        </is>
      </c>
      <c r="B3" s="2" t="inlineStr">
        <is>
          <t>DOL 6460 Polyyurethane Overlaminate</t>
        </is>
      </c>
      <c r="C3" s="29" t="inlineStr">
        <is>
          <t>1370mm or 1520mm x 45.7m</t>
        </is>
      </c>
      <c r="D3" s="30" t="n"/>
      <c r="E3" s="2" t="inlineStr">
        <is>
          <t>Gloss conformable lamiante to suit MPI 1105</t>
        </is>
      </c>
      <c r="F3" s="2" t="inlineStr">
        <is>
          <t>Avery</t>
        </is>
      </c>
    </row>
    <row r="4" ht="27" customHeight="1">
      <c r="A4" s="28" t="inlineStr">
        <is>
          <t>6460PAC</t>
        </is>
      </c>
      <c r="B4" s="29" t="inlineStr">
        <is>
          <t>MPI 1105 EARS &amp; 6460 Laminate</t>
        </is>
      </c>
      <c r="C4" s="29" t="inlineStr">
        <is>
          <t>As above</t>
        </is>
      </c>
      <c r="D4" s="30" t="n">
        <v>21</v>
      </c>
      <c r="E4" s="2" t="inlineStr">
        <is>
          <t>Pack Special - Telstra</t>
        </is>
      </c>
      <c r="F4" s="2" t="inlineStr">
        <is>
          <t>Avery</t>
        </is>
      </c>
    </row>
    <row r="5" ht="27" customHeight="1">
      <c r="A5" s="28" t="inlineStr">
        <is>
          <t>2105EA</t>
        </is>
      </c>
      <c r="B5" s="29" t="inlineStr">
        <is>
          <t>MPI 2105 Easy Apply Gloss Permanent</t>
        </is>
      </c>
      <c r="C5" s="29" t="inlineStr">
        <is>
          <t>1370mm x 45.7m</t>
        </is>
      </c>
      <c r="D5" s="30" t="n"/>
      <c r="E5" s="2" t="inlineStr">
        <is>
          <t xml:space="preserve">An Easy Apply stock used on flat areas </t>
        </is>
      </c>
      <c r="F5" s="2" t="inlineStr">
        <is>
          <t>Avery</t>
        </is>
      </c>
    </row>
    <row r="6" ht="27" customHeight="1">
      <c r="A6" s="28" t="inlineStr">
        <is>
          <t>DOL2000</t>
        </is>
      </c>
      <c r="B6" s="29" t="inlineStr">
        <is>
          <t>DOL 2000 Budget Clear Laminate</t>
        </is>
      </c>
      <c r="C6" s="29" t="inlineStr">
        <is>
          <t>1370mm x 45.7m</t>
        </is>
      </c>
      <c r="D6" s="30" t="n"/>
      <c r="E6" s="2" t="inlineStr">
        <is>
          <t>Gloss Laminate to suit MPI 2105</t>
        </is>
      </c>
      <c r="F6" s="2" t="inlineStr">
        <is>
          <t>Avery</t>
        </is>
      </c>
    </row>
    <row r="7" ht="27" customHeight="1">
      <c r="A7" s="28" t="inlineStr">
        <is>
          <t>DOL2100</t>
        </is>
      </c>
      <c r="B7" s="29" t="inlineStr">
        <is>
          <t xml:space="preserve">DOL 2100 Matte Laminate </t>
        </is>
      </c>
      <c r="C7" s="29" t="inlineStr">
        <is>
          <t>1370mm x 45.7m</t>
        </is>
      </c>
      <c r="D7" s="30" t="n"/>
      <c r="E7" s="2" t="inlineStr">
        <is>
          <t>Matt Laminate to suit MPI 2105</t>
        </is>
      </c>
      <c r="F7" s="2" t="inlineStr">
        <is>
          <t>Avery</t>
        </is>
      </c>
    </row>
    <row r="8" ht="40" customHeight="1">
      <c r="A8" s="31" t="inlineStr">
        <is>
          <t>MPI2006</t>
        </is>
      </c>
      <c r="B8" s="29" t="inlineStr">
        <is>
          <t>MPI2006 Gloss Permanent High Tack</t>
        </is>
      </c>
      <c r="C8" s="29" t="inlineStr">
        <is>
          <t>1370mm x 25m or 45.7m</t>
        </is>
      </c>
      <c r="D8" s="30" t="n"/>
      <c r="E8" s="2" t="inlineStr">
        <is>
          <t>Gloss White Vinyl with an aggressive adhesive</t>
        </is>
      </c>
      <c r="F8" s="2" t="n"/>
    </row>
    <row r="9" ht="27" customHeight="1">
      <c r="A9" s="32" t="inlineStr">
        <is>
          <t xml:space="preserve">DOL1060        </t>
        </is>
      </c>
      <c r="B9" s="29" t="inlineStr">
        <is>
          <t>DOL 1060  Gloss Overlaminate</t>
        </is>
      </c>
      <c r="C9" s="29" t="inlineStr">
        <is>
          <t>1370mm x 45.7m</t>
        </is>
      </c>
      <c r="D9" s="30" t="n"/>
      <c r="E9" s="2" t="inlineStr">
        <is>
          <t>Only to be used with MPI 1005 Easy Apply (OLD)</t>
        </is>
      </c>
      <c r="F9" s="2" t="n"/>
    </row>
    <row r="10" ht="27" customHeight="1">
      <c r="A10" s="32" t="inlineStr">
        <is>
          <t xml:space="preserve">DOL1080        </t>
        </is>
      </c>
      <c r="B10" s="29" t="inlineStr">
        <is>
          <t>DOL 1080 Matte Laminate</t>
        </is>
      </c>
      <c r="C10" s="29" t="inlineStr">
        <is>
          <t>1370mm x 45.7m</t>
        </is>
      </c>
      <c r="D10" s="30" t="n"/>
      <c r="E10" s="2" t="inlineStr">
        <is>
          <t>Only to be used with MPI 1005 Easy Apply (OLD)</t>
        </is>
      </c>
      <c r="F10" s="2" t="n"/>
    </row>
    <row r="11" ht="27" customHeight="1">
      <c r="A11" s="32" t="inlineStr">
        <is>
          <t xml:space="preserve">DOL1360        </t>
        </is>
      </c>
      <c r="B11" s="29" t="inlineStr">
        <is>
          <t>DOL 1360 3D Clear Laminate</t>
        </is>
      </c>
      <c r="C11" s="29" t="inlineStr">
        <is>
          <t>1370mm x 45.7m</t>
        </is>
      </c>
      <c r="D11" s="30" t="n"/>
      <c r="E11" s="2" t="inlineStr">
        <is>
          <t>Only to be used with MPI 1005 Easy Apply (OLD)</t>
        </is>
      </c>
      <c r="F11" s="2" t="n"/>
    </row>
    <row r="12" ht="27" customHeight="1">
      <c r="A12" s="32" t="inlineStr">
        <is>
          <t xml:space="preserve">DOL1460        </t>
        </is>
      </c>
      <c r="B12" s="29" t="inlineStr">
        <is>
          <t>DOL 1460 3D High Gloss Super Conformable</t>
        </is>
      </c>
      <c r="C12" s="29" t="inlineStr">
        <is>
          <t>1370mm x 45.7m</t>
        </is>
      </c>
      <c r="D12" s="30" t="n"/>
      <c r="E12" s="2" t="inlineStr">
        <is>
          <t>Only to be used with MPI 1005 Easy Apply (OLD)</t>
        </is>
      </c>
      <c r="F12" s="2" t="n"/>
    </row>
    <row r="13" ht="27" customHeight="1">
      <c r="A13" s="32" t="inlineStr">
        <is>
          <t xml:space="preserve">DOL1480     </t>
        </is>
      </c>
      <c r="B13" s="29" t="inlineStr">
        <is>
          <t>DOL 1480 3D Matt Super Conformable</t>
        </is>
      </c>
      <c r="C13" s="29" t="inlineStr">
        <is>
          <t>1370mm x 45.7m</t>
        </is>
      </c>
      <c r="D13" s="30" t="n"/>
      <c r="E13" s="2" t="inlineStr">
        <is>
          <t>Only to be used with MPI 1005 Easy Apply (OLD)</t>
        </is>
      </c>
      <c r="F13" s="2" t="n"/>
    </row>
    <row r="14" ht="27" customHeight="1">
      <c r="A14" s="28" t="inlineStr">
        <is>
          <t>DOL43001</t>
        </is>
      </c>
      <c r="B14" s="32" t="inlineStr">
        <is>
          <t xml:space="preserve"> DOL 4300 Overlaminate</t>
        </is>
      </c>
      <c r="C14" s="29" t="inlineStr">
        <is>
          <t>1370mm x 45.7m</t>
        </is>
      </c>
      <c r="D14" s="30" t="n"/>
      <c r="E14" s="2" t="inlineStr">
        <is>
          <t xml:space="preserve">Anti Graffiti Laminate (BP / Rear of PTV Bus) </t>
        </is>
      </c>
      <c r="F14" s="2" t="n"/>
    </row>
    <row r="15" ht="27" customHeight="1">
      <c r="A15" s="28" t="inlineStr">
        <is>
          <t xml:space="preserve">FASFITI </t>
        </is>
      </c>
      <c r="B15" s="32" t="inlineStr">
        <is>
          <t xml:space="preserve">Fasfiti Laminate </t>
        </is>
      </c>
      <c r="C15" s="29" t="inlineStr">
        <is>
          <t>1220mm x 45.7m</t>
        </is>
      </c>
      <c r="D15" s="30" t="n"/>
      <c r="E15" s="2" t="inlineStr">
        <is>
          <t xml:space="preserve">Anti Graffiti Laminate (BP) - can be slit </t>
        </is>
      </c>
      <c r="F15" s="2" t="n"/>
    </row>
    <row r="16" ht="27" customHeight="1">
      <c r="A16" s="28" t="inlineStr">
        <is>
          <t>680CR-10</t>
        </is>
      </c>
      <c r="B16" s="29" t="inlineStr">
        <is>
          <t>3M 680CR White Reflective</t>
        </is>
      </c>
      <c r="C16" s="29" t="inlineStr">
        <is>
          <t>1220mm x 45.7m</t>
        </is>
      </c>
      <c r="D16" s="30" t="n"/>
      <c r="E16" s="2" t="inlineStr">
        <is>
          <t xml:space="preserve">Conformable white reflective stock - Warranty </t>
        </is>
      </c>
      <c r="F16" s="2" t="inlineStr">
        <is>
          <t>Halifax Vogal</t>
        </is>
      </c>
    </row>
    <row r="17" ht="40" customHeight="1">
      <c r="A17" s="28" t="inlineStr">
        <is>
          <t>8519LUSTRE</t>
        </is>
      </c>
      <c r="B17" s="29" t="inlineStr">
        <is>
          <t>3M 8519 Lustre Laminate</t>
        </is>
      </c>
      <c r="C17" s="29" t="inlineStr">
        <is>
          <t>1370mm x 45.7m</t>
        </is>
      </c>
      <c r="D17" s="30" t="n"/>
      <c r="E17" s="29" t="inlineStr">
        <is>
          <t>Laminate to suit 680CR - Satin finish - when ordering slit to 1210mm wide</t>
        </is>
      </c>
      <c r="F17" s="2" t="inlineStr">
        <is>
          <t>Halifax Vogal</t>
        </is>
      </c>
    </row>
    <row r="18" ht="40" customHeight="1">
      <c r="A18" s="28" t="inlineStr">
        <is>
          <t>3MIJ180</t>
        </is>
      </c>
      <c r="B18" s="29" t="inlineStr">
        <is>
          <t>3M 180CV3 Cast Gloss White with Comply</t>
        </is>
      </c>
      <c r="C18" s="29" t="inlineStr">
        <is>
          <t>1370mm x 45.7m</t>
        </is>
      </c>
      <c r="D18" s="30" t="n"/>
      <c r="E18" s="29" t="inlineStr">
        <is>
          <t>An Easy Apply stock used on vehicle wraps - not suitable during cold weather (3M's alternative to Avery's MPI)1105</t>
        </is>
      </c>
      <c r="F18" s="2" t="n"/>
    </row>
    <row r="19" ht="27" customHeight="1">
      <c r="A19" s="33" t="inlineStr">
        <is>
          <t>8518GLOSS</t>
        </is>
      </c>
      <c r="B19" s="34" t="inlineStr">
        <is>
          <t>3M 8518 Gloss Laminate</t>
        </is>
      </c>
      <c r="C19" s="29" t="inlineStr">
        <is>
          <t>1370mm x 45.7m</t>
        </is>
      </c>
      <c r="D19" s="30" t="n"/>
      <c r="E19" s="2" t="inlineStr">
        <is>
          <t>Gloss conformable lamiante to suit 3M180C</t>
        </is>
      </c>
      <c r="F19" s="2" t="n"/>
    </row>
    <row r="20" ht="27" customHeight="1">
      <c r="A20" s="35" t="inlineStr">
        <is>
          <t>ONEWAYAUTO</t>
        </is>
      </c>
      <c r="B20" s="32" t="inlineStr">
        <is>
          <t xml:space="preserve">Oneway Vision Autoview </t>
        </is>
      </c>
      <c r="C20" s="29" t="inlineStr">
        <is>
          <t>1370mm x 50m</t>
        </is>
      </c>
      <c r="D20" s="30" t="n"/>
      <c r="E20" s="2" t="inlineStr">
        <is>
          <t>Perforated Window Vinyl</t>
        </is>
      </c>
      <c r="F20" s="2" t="n"/>
    </row>
    <row r="21" ht="27" customHeight="1">
      <c r="A21" s="35" t="inlineStr">
        <is>
          <t>ONEWAYLAM</t>
        </is>
      </c>
      <c r="B21" s="35" t="inlineStr">
        <is>
          <t xml:space="preserve">Oneway Vision CurvaLam  </t>
        </is>
      </c>
      <c r="C21" s="29" t="inlineStr">
        <is>
          <t>1370mm x 30m</t>
        </is>
      </c>
      <c r="D21" s="30" t="n"/>
      <c r="E21" s="2" t="inlineStr">
        <is>
          <t>Gloss Laminate to suit Autoview</t>
        </is>
      </c>
      <c r="F21" s="2" t="n"/>
    </row>
    <row r="22" ht="27" customHeight="1">
      <c r="A22" s="28" t="inlineStr">
        <is>
          <t>APPTAPE</t>
        </is>
      </c>
      <c r="B22" s="29" t="inlineStr">
        <is>
          <t>NT100 Application Tape</t>
        </is>
      </c>
      <c r="C22" s="29" t="inlineStr">
        <is>
          <t>1220mm x 90m</t>
        </is>
      </c>
      <c r="D22" s="30" t="n">
        <v>1.8</v>
      </c>
      <c r="E22" s="2" t="inlineStr">
        <is>
          <t>Standard Application Tape</t>
        </is>
      </c>
      <c r="F22" s="2" t="n"/>
    </row>
    <row r="23" ht="27" customHeight="1">
      <c r="A23" s="36" t="inlineStr">
        <is>
          <t>APPTAPECLRNT210</t>
        </is>
      </c>
      <c r="B23" s="29" t="inlineStr">
        <is>
          <t xml:space="preserve"> Transparent Application Tape @1220</t>
        </is>
      </c>
      <c r="C23" s="29" t="inlineStr">
        <is>
          <t xml:space="preserve">1220mm x </t>
        </is>
      </c>
      <c r="D23" s="30" t="n"/>
      <c r="E23" s="2" t="inlineStr">
        <is>
          <t>Clear Application Tape</t>
        </is>
      </c>
      <c r="F23" s="2" t="n"/>
    </row>
    <row r="24" ht="27" customHeight="1">
      <c r="A24" s="32" t="inlineStr">
        <is>
          <t>MAGNET.9</t>
        </is>
      </c>
      <c r="B24" s="29" t="inlineStr">
        <is>
          <t>Magnetic 0.9mm Gloss White</t>
        </is>
      </c>
      <c r="C24" s="29" t="n"/>
      <c r="D24" s="30" t="n"/>
      <c r="E24" s="2" t="inlineStr">
        <is>
          <t>Used for Car decals - Can screen print direct or mount a digital print</t>
        </is>
      </c>
      <c r="F24" s="2" t="n"/>
    </row>
    <row r="25" ht="27" customHeight="1">
      <c r="A25" s="37" t="inlineStr">
        <is>
          <t>GLOSSCLEAR2797</t>
        </is>
      </c>
      <c r="B25" s="29" t="inlineStr">
        <is>
          <t>Serilux 70100 Gloss Clear Pemanent</t>
        </is>
      </c>
      <c r="C25" s="29" t="inlineStr">
        <is>
          <t>760 x 1000mm</t>
        </is>
      </c>
      <c r="D25" s="30" t="n"/>
      <c r="E25" s="2" t="inlineStr">
        <is>
          <t>3 year Vinyl used for Screen Printing</t>
        </is>
      </c>
      <c r="F25" s="2" t="n"/>
    </row>
    <row r="26" ht="27" customHeight="1">
      <c r="A26" s="38" t="inlineStr">
        <is>
          <t xml:space="preserve">GLWHPERA </t>
        </is>
      </c>
      <c r="B26" s="29" t="inlineStr">
        <is>
          <t>Serilux 72100 Gloss White Pemanent</t>
        </is>
      </c>
      <c r="C26" s="29" t="inlineStr">
        <is>
          <t>760 x 1000mm</t>
        </is>
      </c>
      <c r="D26" s="30" t="n"/>
      <c r="E26" s="2" t="inlineStr">
        <is>
          <t>3 year Vinyl used for Screen Printing</t>
        </is>
      </c>
      <c r="F26" s="2" t="n"/>
    </row>
    <row r="27" ht="27" customHeight="1">
      <c r="A27" s="38" t="inlineStr">
        <is>
          <t>MATWHIPERM</t>
        </is>
      </c>
      <c r="B27" s="29" t="inlineStr">
        <is>
          <t>Serilux 72101 Matt White Pemanent</t>
        </is>
      </c>
      <c r="C27" s="29" t="inlineStr">
        <is>
          <t>760 x 1000mm</t>
        </is>
      </c>
      <c r="D27" s="30" t="n"/>
      <c r="E27" s="2" t="inlineStr">
        <is>
          <t>3 year Vinyl used for Screen Printing</t>
        </is>
      </c>
      <c r="F27" s="2" t="n"/>
    </row>
    <row r="28" ht="27" customHeight="1">
      <c r="A28" s="38" t="inlineStr">
        <is>
          <t xml:space="preserve">MATWHREM  </t>
        </is>
      </c>
      <c r="B28" s="29" t="inlineStr">
        <is>
          <t>Serilux 7201 Matt White Removeable</t>
        </is>
      </c>
      <c r="C28" s="29" t="inlineStr">
        <is>
          <t>760 x 1000mm</t>
        </is>
      </c>
      <c r="D28" s="30" t="n"/>
      <c r="E28" s="2" t="inlineStr">
        <is>
          <t>3 year Vinyl used for Screen Printing</t>
        </is>
      </c>
      <c r="F28" s="2" t="n"/>
    </row>
    <row r="29" ht="27" customHeight="1">
      <c r="A29" s="39" t="n"/>
    </row>
    <row r="30" ht="19" customHeight="1">
      <c r="A30" s="41" t="n"/>
    </row>
    <row r="31" ht="19" customHeight="1">
      <c r="A31" s="41" t="n"/>
    </row>
    <row r="32" ht="19" customHeight="1">
      <c r="A32" s="41" t="n"/>
    </row>
    <row r="33" ht="19" customHeight="1">
      <c r="A33" s="42" t="n"/>
      <c r="B33" s="41" t="n"/>
      <c r="C33" s="1" t="n"/>
      <c r="D33" s="43" t="n"/>
    </row>
  </sheetData>
  <pageMargins left="0.75" right="0.75" top="1" bottom="1" header="0.5" footer="0.5"/>
  <pageSetup orientation="portrait" paperSize="9" horizontalDpi="4294967292" verticalDpi="4294967292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60"/>
  <sheetViews>
    <sheetView tabSelected="1" topLeftCell="A35" zoomScale="125" zoomScaleNormal="125" zoomScalePageLayoutView="125" workbookViewId="0">
      <selection activeCell="F43" sqref="F43"/>
    </sheetView>
  </sheetViews>
  <sheetFormatPr baseColWidth="10" defaultColWidth="19.83203125" defaultRowHeight="23" customHeight="1"/>
  <cols>
    <col width="19.83203125" customWidth="1" style="90" min="1" max="1"/>
    <col width="17.33203125" customWidth="1" style="90" min="2" max="5"/>
    <col width="28.5" customWidth="1" style="90" min="6" max="6"/>
    <col width="13.6640625" customWidth="1" style="90" min="7" max="7"/>
    <col width="14.83203125" customWidth="1" style="90" min="8" max="8"/>
    <col width="15.33203125" customWidth="1" style="90" min="9" max="9"/>
    <col width="19.83203125" customWidth="1" style="90" min="10" max="16384"/>
  </cols>
  <sheetData>
    <row r="1" ht="23" customHeight="1">
      <c r="A1" s="88" t="inlineStr">
        <is>
          <t>Areas you may need to alter at times</t>
        </is>
      </c>
      <c r="B1" s="89" t="n"/>
      <c r="D1" s="91" t="inlineStr">
        <is>
          <t xml:space="preserve">Areas you need to enter data </t>
        </is>
      </c>
      <c r="E1" s="92" t="n"/>
    </row>
    <row r="2" ht="6" customHeight="1">
      <c r="A2" s="93" t="n"/>
      <c r="B2" s="93" t="n"/>
      <c r="C2" s="93" t="n"/>
      <c r="D2" s="93" t="n"/>
      <c r="E2" s="93" t="n"/>
    </row>
    <row r="3" ht="23" customHeight="1">
      <c r="A3" s="94" t="inlineStr">
        <is>
          <t>Customer/Contact:</t>
        </is>
      </c>
      <c r="B3" s="144" t="inlineStr">
        <is>
          <t>Vestas</t>
        </is>
      </c>
      <c r="C3" s="147" t="n"/>
      <c r="D3" s="94" t="inlineStr">
        <is>
          <t>Rep:</t>
        </is>
      </c>
      <c r="E3" s="95" t="n"/>
      <c r="F3" s="96" t="n"/>
    </row>
    <row r="4" ht="23" customHeight="1">
      <c r="A4" s="94" t="inlineStr">
        <is>
          <t>Job Description:</t>
        </is>
      </c>
      <c r="B4" s="144" t="inlineStr">
        <is>
          <t>Hilux dual cab - door logos both sides (Vestas + BH01)</t>
        </is>
      </c>
      <c r="C4" s="147" t="n"/>
      <c r="D4" s="94" t="inlineStr">
        <is>
          <t>Size:</t>
        </is>
      </c>
      <c r="E4" s="95" t="inlineStr">
        <is>
          <t>2 x (0.70x0.20 logo + 0.30x0.22 plate)</t>
        </is>
      </c>
      <c r="F4" s="96" t="n"/>
    </row>
    <row r="5" ht="23" customHeight="1">
      <c r="A5" s="94" t="inlineStr">
        <is>
          <t>Material:</t>
        </is>
      </c>
      <c r="B5" s="144" t="inlineStr">
        <is>
          <t>Logo: MPI 1105 w/ DOL 1460; Call ID: 3M 680CR reflective w/ 8519 (kiss cut)</t>
        </is>
      </c>
      <c r="C5" s="147" t="n"/>
      <c r="D5" s="94" t="inlineStr">
        <is>
          <t>Installer:</t>
        </is>
      </c>
      <c r="E5" s="95" t="n"/>
    </row>
    <row r="6" ht="23" customHeight="1">
      <c r="B6" s="145" t="n"/>
      <c r="C6" s="148" t="n"/>
      <c r="D6" s="97" t="n"/>
      <c r="E6" s="96" t="n"/>
      <c r="F6" s="96" t="n"/>
    </row>
    <row r="7" ht="23" customHeight="1">
      <c r="B7" s="139" t="n"/>
      <c r="C7" s="99" t="n"/>
      <c r="D7" s="99" t="n"/>
      <c r="E7" s="99" t="n"/>
    </row>
    <row r="8" ht="23" customHeight="1">
      <c r="A8" s="100" t="inlineStr">
        <is>
          <t>Quantity</t>
        </is>
      </c>
      <c r="B8" s="133" t="n">
        <v>1</v>
      </c>
      <c r="C8" s="133" t="n">
        <v>1</v>
      </c>
      <c r="D8" s="133" t="n">
        <v>10</v>
      </c>
      <c r="E8" s="133" t="n">
        <v>1</v>
      </c>
    </row>
    <row r="9" ht="4" customHeight="1">
      <c r="A9" s="93" t="n"/>
      <c r="B9" s="93" t="n"/>
      <c r="C9" s="93" t="n"/>
      <c r="D9" s="93" t="n"/>
      <c r="E9" s="93" t="n"/>
    </row>
    <row r="10" ht="23" customHeight="1">
      <c r="A10" s="101" t="inlineStr">
        <is>
          <t>ART (Hours)</t>
        </is>
      </c>
      <c r="B10" s="140" t="n">
        <v>1</v>
      </c>
      <c r="C10" s="140" t="n">
        <v>1</v>
      </c>
      <c r="D10" s="140" t="n">
        <v>1</v>
      </c>
      <c r="E10" s="140" t="n">
        <v>1</v>
      </c>
    </row>
    <row r="11" ht="23" customHeight="1">
      <c r="A11" s="103" t="inlineStr">
        <is>
          <t>Set Up ($85/hr)</t>
        </is>
      </c>
      <c r="B11" s="104" t="n">
        <v>0</v>
      </c>
      <c r="C11" s="104" t="n"/>
      <c r="D11" s="104">
        <f>85*D10</f>
        <v/>
      </c>
      <c r="E11" s="104" t="n">
        <v>85</v>
      </c>
      <c r="G11" s="132" t="n"/>
      <c r="H11" s="149" t="n"/>
    </row>
    <row r="12" ht="37" customHeight="1">
      <c r="A12" s="112" t="inlineStr">
        <is>
          <t xml:space="preserve">File set up/template $170 plus GST. </t>
        </is>
      </c>
      <c r="B12" s="102" t="n">
        <v>0</v>
      </c>
      <c r="C12" s="102" t="n"/>
      <c r="D12" s="102" t="n">
        <v>170</v>
      </c>
      <c r="E12" s="102" t="n"/>
      <c r="G12" s="149" t="n"/>
    </row>
    <row r="13" ht="13" customHeight="1">
      <c r="A13" s="106" t="inlineStr">
        <is>
          <t>MATERIAL</t>
        </is>
      </c>
      <c r="B13" s="107" t="n"/>
      <c r="C13" s="107" t="n"/>
      <c r="D13" s="107" t="n"/>
      <c r="E13" s="107" t="n"/>
    </row>
    <row r="14" ht="23" customHeight="1">
      <c r="A14" s="108">
        <f>WORKSHEET!A7</f>
        <v/>
      </c>
      <c r="B14" s="102" t="n"/>
      <c r="C14" s="102">
        <f>WORKSHEET!C12+WORKSHEET!I12</f>
        <v/>
      </c>
      <c r="D14" s="102">
        <f>WORKSHEET!D12+WORKSHEET!J12</f>
        <v/>
      </c>
      <c r="E14" s="102">
        <f>WORKSHEET!E12+WORKSHEET!K12</f>
        <v/>
      </c>
      <c r="G14" s="149" t="n"/>
      <c r="H14" s="149" t="n"/>
    </row>
    <row r="15" ht="23" customHeight="1">
      <c r="A15" s="98" t="inlineStr">
        <is>
          <t>680 w/ 8519</t>
        </is>
      </c>
      <c r="B15" s="102" t="n"/>
      <c r="C15" s="102">
        <f>WORKSHEET!C20+WORKSHEET!I20</f>
        <v/>
      </c>
      <c r="D15" s="102">
        <f>WORKSHEET!D20+WORKSHEET!J20</f>
        <v/>
      </c>
      <c r="E15" s="102">
        <f>WORKSHEET!E20+WORKSHEET!K20</f>
        <v/>
      </c>
      <c r="G15" s="149" t="n"/>
      <c r="H15" s="149" t="n"/>
    </row>
    <row r="16" ht="23" customHeight="1">
      <c r="A16" s="98" t="inlineStr">
        <is>
          <t>Perf w/ Lam</t>
        </is>
      </c>
      <c r="B16" s="102" t="n"/>
      <c r="C16" s="102">
        <f>WORKSHEET!C28+WORKSHEET!I28</f>
        <v/>
      </c>
      <c r="D16" s="102">
        <f>WORKSHEET!D28+WORKSHEET!J28</f>
        <v/>
      </c>
      <c r="E16" s="102">
        <f>WORKSHEET!E28+WORKSHEET!K28</f>
        <v/>
      </c>
      <c r="G16" s="149" t="n"/>
      <c r="H16" s="149" t="n"/>
    </row>
    <row r="17" ht="23" customHeight="1">
      <c r="A17" s="109" t="inlineStr">
        <is>
          <t>4 METRES EXT</t>
        </is>
      </c>
      <c r="B17" s="110" t="n"/>
      <c r="C17" s="110">
        <f>B17</f>
        <v/>
      </c>
      <c r="D17" s="110">
        <f>C17</f>
        <v/>
      </c>
      <c r="E17" s="110" t="n"/>
      <c r="F17" s="90" t="inlineStr">
        <is>
          <t>All stocks</t>
        </is>
      </c>
    </row>
    <row r="18" ht="23" customHeight="1">
      <c r="A18" s="109" t="inlineStr">
        <is>
          <t xml:space="preserve">APP TAPE min </t>
        </is>
      </c>
      <c r="B18" s="110" t="n"/>
      <c r="C18" s="110" t="n">
        <v>20</v>
      </c>
      <c r="D18" s="110" t="n">
        <v>20</v>
      </c>
      <c r="E18" s="110" t="n">
        <v>20</v>
      </c>
      <c r="F18" s="111" t="inlineStr">
        <is>
          <t>Min charge</t>
        </is>
      </c>
    </row>
    <row r="19" ht="30" customHeight="1">
      <c r="A19" s="112" t="inlineStr">
        <is>
          <t>Application Tape ($1.8 per m2)</t>
        </is>
      </c>
      <c r="B19" s="102" t="n"/>
      <c r="C19" s="102" t="n"/>
      <c r="D19" s="102">
        <f>(WORKSHEET!J13+WORKSHEET!J21+WORKSHEET!J29)*1.8</f>
        <v/>
      </c>
      <c r="E19" s="102">
        <f>(WORKSHEET!K13+WORKSHEET!K21+WORKSHEET!K29)*1.8</f>
        <v/>
      </c>
    </row>
    <row r="20" ht="13" customHeight="1">
      <c r="A20" s="106" t="inlineStr">
        <is>
          <t>PRINT</t>
        </is>
      </c>
      <c r="B20" s="107" t="n"/>
      <c r="C20" s="107" t="n"/>
      <c r="D20" s="107" t="n"/>
      <c r="E20" s="107" t="n"/>
    </row>
    <row r="21" ht="23" customHeight="1">
      <c r="A21" s="113" t="inlineStr">
        <is>
          <t>Set Up ($125)</t>
        </is>
      </c>
      <c r="B21" s="114" t="n"/>
      <c r="C21" s="114" t="n">
        <v>125</v>
      </c>
      <c r="D21" s="114" t="n">
        <v>125</v>
      </c>
      <c r="E21" s="114" t="n">
        <v>125</v>
      </c>
    </row>
    <row r="22" ht="28" customHeight="1">
      <c r="A22" s="115" t="inlineStr">
        <is>
          <t>Run Time              ($90/hr @ 45m per hour)</t>
        </is>
      </c>
      <c r="B22" s="102" t="n"/>
      <c r="C22" s="102">
        <f>((WORKSHEET!C13+WORKSHEET!C21+WORKSHEET!C29+WORKSHEET!I13+WORKSHEET!I21+WORKSHEET!I29)/45)*90</f>
        <v/>
      </c>
      <c r="D22" s="102">
        <f>((WORKSHEET!D13+WORKSHEET!D21+WORKSHEET!D29+WORKSHEET!J13+WORKSHEET!J21+WORKSHEET!J29)/45)*90</f>
        <v/>
      </c>
      <c r="E22" s="102">
        <f>((WORKSHEET!E13+WORKSHEET!E21+WORKSHEET!E29+WORKSHEET!K13+WORKSHEET!K21+WORKSHEET!K29)/45)*90</f>
        <v/>
      </c>
      <c r="G22" s="149" t="n"/>
      <c r="H22" s="149" t="n"/>
    </row>
    <row r="23" ht="13" customHeight="1">
      <c r="A23" s="106" t="inlineStr">
        <is>
          <t>INK</t>
        </is>
      </c>
      <c r="B23" s="107" t="n"/>
      <c r="C23" s="107" t="n"/>
      <c r="D23" s="107" t="n"/>
      <c r="E23" s="107" t="n"/>
    </row>
    <row r="24" ht="28" customHeight="1">
      <c r="A24" s="115" t="inlineStr">
        <is>
          <t>Ink Usage ($3.34 per Sq Metre)</t>
        </is>
      </c>
      <c r="B24" s="102" t="n"/>
      <c r="C24" s="102">
        <f>(WORKSHEET!C9+WORKSHEET!C17+WORKSHEET!C25+WORKSHEET!I9+WORKSHEET!I17+WORKSHEET!I25)*3.34</f>
        <v/>
      </c>
      <c r="D24" s="102">
        <f>(WORKSHEET!D9+WORKSHEET!D17+WORKSHEET!D25+WORKSHEET!J9+WORKSHEET!J17+WORKSHEET!J25)*3.34</f>
        <v/>
      </c>
      <c r="E24" s="102">
        <f>(WORKSHEET!E9+WORKSHEET!E17+WORKSHEET!E25+WORKSHEET!K9+WORKSHEET!K17+WORKSHEET!K25)*3.34</f>
        <v/>
      </c>
      <c r="G24" s="149" t="n"/>
      <c r="H24" s="149" t="n"/>
    </row>
    <row r="25" ht="13" customHeight="1">
      <c r="A25" s="106" t="inlineStr">
        <is>
          <t>FINISHING</t>
        </is>
      </c>
      <c r="B25" s="107" t="n"/>
      <c r="C25" s="107" t="n"/>
      <c r="D25" s="107" t="n"/>
      <c r="E25" s="107" t="n"/>
    </row>
    <row r="26" ht="28" customHeight="1">
      <c r="A26" s="116" t="inlineStr">
        <is>
          <t>Laminate Set up $45</t>
        </is>
      </c>
      <c r="B26" s="114" t="n"/>
      <c r="C26" s="114" t="n">
        <v>45</v>
      </c>
      <c r="D26" s="114" t="n">
        <v>45</v>
      </c>
      <c r="E26" s="114" t="n">
        <v>45</v>
      </c>
      <c r="G26" s="149" t="n"/>
    </row>
    <row r="27" ht="28" customHeight="1">
      <c r="A27" s="115" t="inlineStr">
        <is>
          <t>Laminate                      ($90/hr @ 45m per hour)</t>
        </is>
      </c>
      <c r="B27" s="102" t="n"/>
      <c r="C27" s="102">
        <f>((WORKSHEET!C13+WORKSHEET!C21+WORKSHEET!C29+WORKSHEET!I13+WORKSHEET!I21+WORKSHEET!I29)/45)*90</f>
        <v/>
      </c>
      <c r="D27" s="102">
        <f>((WORKSHEET!D13+WORKSHEET!D21+WORKSHEET!D29+WORKSHEET!J13+WORKSHEET!J21+WORKSHEET!J29)/45)*90</f>
        <v/>
      </c>
      <c r="E27" s="102">
        <f>((WORKSHEET!E13+WORKSHEET!E21+WORKSHEET!E29+WORKSHEET!K13+WORKSHEET!K21+WORKSHEET!K29)/45)*90</f>
        <v/>
      </c>
    </row>
    <row r="28" ht="28" customHeight="1">
      <c r="A28" s="116" t="inlineStr">
        <is>
          <t>ZUND Set up $45</t>
        </is>
      </c>
      <c r="B28" s="114" t="n">
        <v>45</v>
      </c>
      <c r="C28" s="114" t="n">
        <v>45</v>
      </c>
      <c r="D28" s="114" t="n">
        <v>45</v>
      </c>
      <c r="E28" s="114" t="n">
        <v>45</v>
      </c>
    </row>
    <row r="29" ht="43" customHeight="1">
      <c r="A29" s="117" t="inlineStr">
        <is>
          <t>ZUND - Basic Through cut           ($105/hr @ 45m per hour)</t>
        </is>
      </c>
      <c r="B29" s="102">
        <f>((WORKSHEET!B13+WORKSHEET!B21+WORKSHEET!B29)/45)*105</f>
        <v/>
      </c>
      <c r="C29" s="102">
        <f>((WORKSHEET!C13+WORKSHEET!C21+WORKSHEET!C29)/45)*105</f>
        <v/>
      </c>
      <c r="D29" s="102">
        <f>((WORKSHEET!D13+WORKSHEET!D21+WORKSHEET!D29)/45)*105</f>
        <v/>
      </c>
      <c r="E29" s="102">
        <f>((WORKSHEET!E13+WORKSHEET!E21+WORKSHEET!E29)/45)*105</f>
        <v/>
      </c>
    </row>
    <row r="30" ht="54" customHeight="1">
      <c r="A30" s="117" t="inlineStr">
        <is>
          <t>ZUND - Basic Kiss &amp; Through cut or Pen &amp; Through cut                  ($105/hr @ 15m per hour)</t>
        </is>
      </c>
      <c r="B30" s="102">
        <f>((WORKSHEET!H13+WORKSHEET!H21+WORKSHEET!H29)/WORKSHEET!H31)*105</f>
        <v/>
      </c>
      <c r="C30" s="102">
        <f>((WORKSHEET!I13+WORKSHEET!I21+WORKSHEET!I29)/WORKSHEET!I31)*105</f>
        <v/>
      </c>
      <c r="D30" s="102">
        <f>((WORKSHEET!J13+WORKSHEET!J21+WORKSHEET!J29)/WORKSHEET!J31)*105</f>
        <v/>
      </c>
      <c r="E30" s="102">
        <f>((WORKSHEET!K13+WORKSHEET!K21+WORKSHEET!K29)/WORKSHEET!K31)*105</f>
        <v/>
      </c>
    </row>
    <row r="31" ht="60" customHeight="1">
      <c r="A31" s="118" t="inlineStr">
        <is>
          <t>Weeding              ($65/hr @ 2 sets per hour)</t>
        </is>
      </c>
      <c r="B31" s="119" t="n"/>
      <c r="C31" s="119">
        <f>(C8/2)*65</f>
        <v/>
      </c>
      <c r="D31" s="119">
        <f>(D8/2)*65</f>
        <v/>
      </c>
      <c r="E31" s="119" t="n"/>
      <c r="F31" s="90" t="inlineStr">
        <is>
          <t>7 UP = 15 Mins per sheet.</t>
        </is>
      </c>
      <c r="G31" s="120" t="n"/>
    </row>
    <row r="32" ht="28" customHeight="1">
      <c r="A32" s="121" t="inlineStr">
        <is>
          <t>SET UP APP TAPE</t>
        </is>
      </c>
      <c r="B32" s="141" t="n"/>
      <c r="C32" s="104" t="n">
        <v>45</v>
      </c>
      <c r="D32" s="104" t="n">
        <v>45</v>
      </c>
      <c r="E32" s="104" t="n"/>
      <c r="F32" s="90" t="inlineStr">
        <is>
          <t xml:space="preserve">Set up added </t>
        </is>
      </c>
    </row>
    <row r="33" ht="69" customHeight="1">
      <c r="A33" s="121" t="inlineStr">
        <is>
          <t>Lam App Tape            ($90/hr @ 25m per hour)</t>
        </is>
      </c>
      <c r="B33" s="104" t="n"/>
      <c r="C33" s="104">
        <f>((WORKSHEET!I13+WORKSHEET!I21+WORKSHEET!I29)/25)*90</f>
        <v/>
      </c>
      <c r="D33" s="104">
        <f>((WORKSHEET!J13+WORKSHEET!J21+WORKSHEET!J29)/25)*90</f>
        <v/>
      </c>
      <c r="E33" s="104" t="n"/>
      <c r="F33" s="90" t="inlineStr">
        <is>
          <t>Changed to 25 lm per hour</t>
        </is>
      </c>
    </row>
    <row r="34" ht="63" customHeight="1">
      <c r="A34" s="122" t="inlineStr">
        <is>
          <t>Hand Trim ($12/lm)</t>
        </is>
      </c>
      <c r="B34" s="104" t="n"/>
      <c r="C34" s="104">
        <f>(WORKSHEET!I13+WORKSHEET!I21+WORKSHEET!I29)*12</f>
        <v/>
      </c>
      <c r="D34" s="104">
        <f>(WORKSHEET!J13+WORKSHEET!J21+WORKSHEET!J29)*12</f>
        <v/>
      </c>
      <c r="E34" s="104" t="n"/>
      <c r="F34" s="90" t="inlineStr">
        <is>
          <t>Changed to $12 per L/M</t>
        </is>
      </c>
    </row>
    <row r="35" ht="23" customHeight="1">
      <c r="A35" s="98" t="n"/>
      <c r="B35" s="102" t="n"/>
      <c r="C35" s="102" t="n"/>
      <c r="D35" s="102" t="n"/>
      <c r="E35" s="102" t="n">
        <v>200</v>
      </c>
    </row>
    <row r="36" ht="29.25" customHeight="1">
      <c r="A36" s="122" t="inlineStr">
        <is>
          <t>Packing                   ($15/per set)</t>
        </is>
      </c>
      <c r="B36" s="123">
        <f>(75*5)/2</f>
        <v/>
      </c>
      <c r="C36" s="123" t="n">
        <v>15</v>
      </c>
      <c r="D36" s="123" t="n">
        <v>30</v>
      </c>
      <c r="E36" s="123" t="n">
        <v>30</v>
      </c>
      <c r="F36" s="90" t="inlineStr">
        <is>
          <t xml:space="preserve">$15 per set </t>
        </is>
      </c>
    </row>
    <row r="37" ht="23" customHeight="1">
      <c r="A37" s="98" t="n"/>
      <c r="B37" s="102" t="n"/>
      <c r="C37" s="102" t="n"/>
      <c r="D37" s="102" t="n"/>
      <c r="E37" s="102" t="n"/>
    </row>
    <row r="38" ht="46" customHeight="1">
      <c r="A38" s="122" t="inlineStr">
        <is>
          <t xml:space="preserve">DeliveryMin $45            (QLD - $3.4 per kg plus $12 per c/s + 15%surcharge) (0.7kg per LM) </t>
        </is>
      </c>
      <c r="B38" s="123" t="n"/>
      <c r="C38" s="123" t="n">
        <v>0</v>
      </c>
      <c r="D38" s="123" t="n">
        <v>45</v>
      </c>
      <c r="E38" s="123" t="n">
        <v>65</v>
      </c>
      <c r="G38" s="149" t="n"/>
      <c r="H38" s="149" t="n"/>
    </row>
    <row r="39" ht="23" customHeight="1">
      <c r="A39" s="98" t="n"/>
      <c r="B39" s="102" t="n"/>
      <c r="C39" s="102" t="n"/>
      <c r="D39" s="102" t="n"/>
      <c r="E39" s="102" t="n"/>
    </row>
    <row r="40" ht="23" customHeight="1">
      <c r="A40" s="124" t="inlineStr">
        <is>
          <t>SUB TOTAL</t>
        </is>
      </c>
      <c r="B40" s="102">
        <f>SUM(B10:B39)</f>
        <v/>
      </c>
      <c r="C40" s="102">
        <f>SUM(C10:C39)</f>
        <v/>
      </c>
      <c r="D40" s="102">
        <f>SUM(D10:D39)</f>
        <v/>
      </c>
      <c r="E40" s="102">
        <f>SUM(E10:E39)</f>
        <v/>
      </c>
      <c r="G40" s="149" t="n"/>
    </row>
    <row r="41" ht="23" customHeight="1">
      <c r="A41" s="124" t="inlineStr">
        <is>
          <t>35% mark up</t>
        </is>
      </c>
      <c r="B41" s="102">
        <f>B40*0.35</f>
        <v/>
      </c>
      <c r="C41" s="102">
        <f>C40*0.35</f>
        <v/>
      </c>
      <c r="D41" s="102">
        <f>D40*0.35</f>
        <v/>
      </c>
      <c r="E41" s="102">
        <f>E40*0.35</f>
        <v/>
      </c>
      <c r="G41" s="149" t="n"/>
    </row>
    <row r="42" ht="23" customHeight="1">
      <c r="A42" s="108" t="inlineStr">
        <is>
          <t>TOTAL</t>
        </is>
      </c>
      <c r="B42" s="102">
        <f>B40+B41</f>
        <v/>
      </c>
      <c r="C42" s="102">
        <f>C40+C41</f>
        <v/>
      </c>
      <c r="D42" s="102">
        <f>D40+D41</f>
        <v/>
      </c>
      <c r="E42" s="102">
        <f>E40+E41</f>
        <v/>
      </c>
      <c r="F42" s="149" t="n"/>
      <c r="G42" s="149">
        <f>B42/3</f>
        <v/>
      </c>
      <c r="H42" s="149" t="n"/>
      <c r="I42" s="149" t="n"/>
    </row>
    <row r="43" ht="23" customHeight="1">
      <c r="A43" s="124" t="inlineStr">
        <is>
          <t>Unit Price</t>
        </is>
      </c>
      <c r="B43" s="102">
        <f>B42/B8</f>
        <v/>
      </c>
      <c r="C43" s="102">
        <f>C42/C8</f>
        <v/>
      </c>
      <c r="D43" s="102">
        <f>D42/D8</f>
        <v/>
      </c>
      <c r="E43" s="102">
        <f>E42/E8</f>
        <v/>
      </c>
    </row>
    <row r="44" ht="23" customHeight="1">
      <c r="A44" s="125" t="inlineStr">
        <is>
          <t>Installation ($125/hr)</t>
        </is>
      </c>
      <c r="B44" s="119">
        <f>300*1.3</f>
        <v/>
      </c>
      <c r="C44" s="119">
        <f>125*1*1.4</f>
        <v/>
      </c>
      <c r="D44" s="119">
        <f>380*1.4</f>
        <v/>
      </c>
      <c r="E44" s="119">
        <f>1.4*300</f>
        <v/>
      </c>
      <c r="G44" s="126" t="n"/>
      <c r="H44" s="127" t="n">
        <v>798</v>
      </c>
      <c r="I44" s="90">
        <f>550*1.4</f>
        <v/>
      </c>
      <c r="J44" s="149">
        <f>H44+I44</f>
        <v/>
      </c>
    </row>
    <row r="45" ht="23" customHeight="1">
      <c r="A45" s="128" t="inlineStr">
        <is>
          <t>Total installed price</t>
        </is>
      </c>
      <c r="B45" s="102">
        <f>B44+B43</f>
        <v/>
      </c>
      <c r="C45" s="102">
        <f>C44+C43</f>
        <v/>
      </c>
      <c r="D45" s="102">
        <f>D44+D43</f>
        <v/>
      </c>
      <c r="E45" s="102">
        <f>E44+E43</f>
        <v/>
      </c>
      <c r="G45" s="150" t="n"/>
      <c r="H45" s="127" t="n">
        <v>728</v>
      </c>
      <c r="I45" s="90">
        <f>480*1.4</f>
        <v/>
      </c>
      <c r="J45" s="149">
        <f>H45+I45</f>
        <v/>
      </c>
    </row>
    <row r="46" ht="23" customHeight="1">
      <c r="B46" s="96" t="n"/>
      <c r="C46" s="96" t="n"/>
      <c r="D46" s="96" t="n"/>
      <c r="H46" s="127" t="n">
        <v>728</v>
      </c>
      <c r="I46" s="90">
        <f>480*1.4</f>
        <v/>
      </c>
      <c r="J46" s="149">
        <f>H46+I46</f>
        <v/>
      </c>
    </row>
    <row r="47" ht="23" customHeight="1">
      <c r="A47" s="111" t="inlineStr">
        <is>
          <t>Subbies can charge</t>
        </is>
      </c>
      <c r="B47" s="130">
        <f>B44/1.4</f>
        <v/>
      </c>
      <c r="C47" s="130">
        <f>C44/1.4</f>
        <v/>
      </c>
      <c r="D47" s="130">
        <f>D44/1.4</f>
        <v/>
      </c>
      <c r="E47" s="130">
        <f>E44/1.4</f>
        <v/>
      </c>
    </row>
    <row r="48" ht="23" customHeight="1">
      <c r="B48" s="96" t="n"/>
      <c r="C48" s="96" t="n"/>
      <c r="D48" s="96" t="n"/>
    </row>
    <row r="49" ht="23" customHeight="1">
      <c r="B49" s="133">
        <f>B8</f>
        <v/>
      </c>
      <c r="C49" s="133">
        <f>C8</f>
        <v/>
      </c>
      <c r="D49" s="133">
        <f>D8</f>
        <v/>
      </c>
      <c r="E49" s="133">
        <f>E8</f>
        <v/>
      </c>
      <c r="G49" s="90" t="inlineStr">
        <is>
          <t xml:space="preserve">Decals </t>
        </is>
      </c>
      <c r="H49" s="90" t="n">
        <v>903</v>
      </c>
    </row>
    <row r="50" ht="23" customHeight="1">
      <c r="B50" s="102">
        <f>B45</f>
        <v/>
      </c>
      <c r="C50" s="102">
        <f>C45</f>
        <v/>
      </c>
      <c r="D50" s="102">
        <f>D45</f>
        <v/>
      </c>
      <c r="E50" s="102">
        <f>E45</f>
        <v/>
      </c>
      <c r="G50" s="90" t="inlineStr">
        <is>
          <t>Install</t>
        </is>
      </c>
      <c r="H50" s="90" t="n">
        <v>420</v>
      </c>
    </row>
    <row r="51" ht="23" customHeight="1">
      <c r="B51" s="96" t="n"/>
      <c r="C51" s="96" t="n"/>
      <c r="D51" s="96" t="n"/>
    </row>
    <row r="52" ht="23" customHeight="1">
      <c r="A52" s="131" t="inlineStr">
        <is>
          <t>Creative Art - $660, plus a 20% mark up</t>
        </is>
      </c>
      <c r="C52" s="96" t="n"/>
      <c r="D52" s="96" t="n">
        <v>1333</v>
      </c>
      <c r="E52" s="90" t="n">
        <v>1208</v>
      </c>
      <c r="G52" s="149" t="n"/>
      <c r="H52" s="149" t="n"/>
    </row>
    <row r="53" ht="23" customHeight="1">
      <c r="B53" s="87" t="n"/>
      <c r="C53" s="96" t="n"/>
      <c r="D53" s="96" t="n">
        <v>1892</v>
      </c>
      <c r="E53" s="90" t="n">
        <v>1767</v>
      </c>
    </row>
    <row r="54" ht="23" customHeight="1">
      <c r="B54" s="96" t="n"/>
      <c r="C54" s="96" t="n"/>
      <c r="D54" s="96" t="n"/>
    </row>
    <row r="55" ht="23" customHeight="1">
      <c r="B55" s="96" t="n"/>
      <c r="C55" s="96" t="n"/>
      <c r="D55" s="96" t="n"/>
    </row>
    <row r="56" ht="23" customHeight="1">
      <c r="B56" s="96" t="n"/>
      <c r="C56" s="96" t="n"/>
      <c r="D56" s="96" t="n"/>
    </row>
    <row r="57" ht="23" customHeight="1">
      <c r="B57" s="96" t="n"/>
      <c r="C57" s="96" t="n"/>
      <c r="D57" s="96" t="n"/>
    </row>
    <row r="58" ht="23" customHeight="1">
      <c r="B58" s="96" t="n"/>
      <c r="C58" s="96" t="n"/>
      <c r="D58" s="96" t="n"/>
    </row>
    <row r="59" ht="23" customHeight="1">
      <c r="B59" s="96" t="n"/>
      <c r="C59" s="96" t="n"/>
      <c r="D59" s="96" t="n"/>
    </row>
    <row r="60" ht="23" customHeight="1">
      <c r="B60" s="96" t="n"/>
      <c r="C60" s="96" t="n"/>
      <c r="D60" s="96" t="n"/>
    </row>
  </sheetData>
  <mergeCells count="4">
    <mergeCell ref="B6:C6"/>
    <mergeCell ref="B5:C5"/>
    <mergeCell ref="B4:C4"/>
    <mergeCell ref="B3:C3"/>
  </mergeCells>
  <pageMargins left="0.7" right="0.7" top="0.75" bottom="0.75" header="0.3" footer="0.3"/>
  <pageSetup orientation="landscape" scale="47" horizontalDpi="4294967292" verticalDpi="4294967292"/>
  <rowBreaks count="1" manualBreakCount="1">
    <brk id="43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O52"/>
  <sheetViews>
    <sheetView zoomScale="150" zoomScaleNormal="150" workbookViewId="0">
      <selection activeCell="K12" sqref="K12"/>
    </sheetView>
  </sheetViews>
  <sheetFormatPr baseColWidth="10" defaultColWidth="11" defaultRowHeight="16"/>
  <cols>
    <col width="25.33203125" customWidth="1" min="1" max="1"/>
    <col width="4" customWidth="1" min="6" max="6"/>
    <col width="25.83203125" customWidth="1" min="7" max="7"/>
  </cols>
  <sheetData>
    <row r="2">
      <c r="A2" s="142" t="inlineStr">
        <is>
          <t xml:space="preserve">THROUGH CUT </t>
        </is>
      </c>
      <c r="G2" s="143" t="inlineStr">
        <is>
          <t xml:space="preserve">KISS CUT </t>
        </is>
      </c>
    </row>
    <row r="3">
      <c r="A3" s="48" t="n"/>
      <c r="B3" s="48" t="n"/>
      <c r="C3" s="48" t="n"/>
      <c r="D3" s="48" t="n"/>
      <c r="E3" s="48" t="n"/>
      <c r="G3" s="48" t="n"/>
      <c r="H3" s="48" t="n"/>
      <c r="I3" s="48" t="n"/>
      <c r="J3" s="48" t="n"/>
      <c r="K3" s="48" t="n"/>
    </row>
    <row r="4">
      <c r="A4" t="inlineStr">
        <is>
          <t>QUANTITY</t>
        </is>
      </c>
      <c r="B4" s="52" t="n">
        <v>1</v>
      </c>
      <c r="C4" s="52" t="n">
        <v>5</v>
      </c>
      <c r="D4" s="52" t="n">
        <v>10</v>
      </c>
      <c r="E4" s="52" t="n">
        <v>20</v>
      </c>
      <c r="G4" t="inlineStr">
        <is>
          <t>QUANTITY</t>
        </is>
      </c>
      <c r="H4" s="52" t="n">
        <v>100</v>
      </c>
      <c r="I4" s="52" t="n">
        <v>500</v>
      </c>
      <c r="J4" s="52" t="n">
        <v>1000</v>
      </c>
      <c r="K4" s="52" t="n">
        <v>12</v>
      </c>
    </row>
    <row r="5">
      <c r="O5" s="134" t="n"/>
    </row>
    <row r="6">
      <c r="A6" s="49" t="inlineStr">
        <is>
          <t>MATERIAL NAME</t>
        </is>
      </c>
      <c r="B6" s="50" t="inlineStr">
        <is>
          <t>WIDE</t>
        </is>
      </c>
      <c r="C6" s="49" t="inlineStr">
        <is>
          <t xml:space="preserve">SQ PRICE </t>
        </is>
      </c>
      <c r="G6" s="49" t="inlineStr">
        <is>
          <t>MATERIAL NAME</t>
        </is>
      </c>
      <c r="H6" s="50" t="inlineStr">
        <is>
          <t>WIDE</t>
        </is>
      </c>
      <c r="I6" s="49" t="inlineStr">
        <is>
          <t xml:space="preserve">SQ PRICE </t>
        </is>
      </c>
      <c r="O6" s="134" t="n"/>
    </row>
    <row r="7">
      <c r="A7" s="47" t="inlineStr">
        <is>
          <t>MPI 1105 w/ 1460z &amp; 6460</t>
        </is>
      </c>
      <c r="B7" s="45" t="n">
        <v>1.37</v>
      </c>
      <c r="C7" s="51" t="n">
        <v>28</v>
      </c>
      <c r="E7" s="151">
        <f>(B7*4)*C7</f>
        <v/>
      </c>
      <c r="G7" s="47" t="inlineStr">
        <is>
          <t>MPI 1105 w/ 1460</t>
        </is>
      </c>
      <c r="H7" s="45" t="n">
        <v>1.37</v>
      </c>
      <c r="I7" s="51" t="n">
        <v>28</v>
      </c>
      <c r="K7" s="151">
        <f>(H7*4)*I7</f>
        <v/>
      </c>
      <c r="O7" s="134" t="n"/>
    </row>
    <row r="9">
      <c r="A9" s="46" t="inlineStr">
        <is>
          <t>Square used</t>
        </is>
      </c>
      <c r="B9" s="45">
        <f>(B7*B10)*B11</f>
        <v/>
      </c>
      <c r="C9" s="45">
        <f>(B7*C10)*C11</f>
        <v/>
      </c>
      <c r="D9" s="45">
        <f>(B7*D10)*D11</f>
        <v/>
      </c>
      <c r="E9" s="45">
        <f>(B7*E10)*E11</f>
        <v/>
      </c>
      <c r="G9" s="46" t="inlineStr">
        <is>
          <t>Square used</t>
        </is>
      </c>
      <c r="H9" s="45">
        <f>(H7*H10)*H11</f>
        <v/>
      </c>
      <c r="I9" s="45">
        <f>(H7*I10)*I11</f>
        <v/>
      </c>
      <c r="J9" s="45">
        <f>(H7*J10)*J11</f>
        <v/>
      </c>
      <c r="K9" s="45">
        <f>(H7*K10)*K11</f>
        <v/>
      </c>
    </row>
    <row r="10">
      <c r="A10" s="46" t="inlineStr">
        <is>
          <t>Lineal Metres</t>
        </is>
      </c>
      <c r="B10" s="52" t="n">
        <v>0</v>
      </c>
      <c r="C10" s="52" t="n">
        <v>0</v>
      </c>
      <c r="D10" s="52" t="n">
        <v>0</v>
      </c>
      <c r="E10" s="52" t="n">
        <v>0</v>
      </c>
      <c r="G10" s="46" t="inlineStr">
        <is>
          <t>Lineal Metres</t>
        </is>
      </c>
      <c r="H10" s="71" t="n">
        <v>1</v>
      </c>
      <c r="I10" s="71" t="n">
        <v>0.5</v>
      </c>
      <c r="J10" s="71" t="n">
        <v>0</v>
      </c>
      <c r="K10" s="71" t="n">
        <v>1</v>
      </c>
      <c r="O10" s="134" t="n"/>
    </row>
    <row r="11">
      <c r="A11" s="46" t="inlineStr">
        <is>
          <t>RUN</t>
        </is>
      </c>
      <c r="B11" s="52" t="n">
        <v>0</v>
      </c>
      <c r="C11" s="52" t="n">
        <v>0</v>
      </c>
      <c r="D11" s="52" t="n">
        <v>0</v>
      </c>
      <c r="E11" s="52" t="n">
        <v>0</v>
      </c>
      <c r="G11" s="46" t="inlineStr">
        <is>
          <t>RUN</t>
        </is>
      </c>
      <c r="H11" s="71" t="n">
        <v>1</v>
      </c>
      <c r="I11" s="71" t="n">
        <v>1</v>
      </c>
      <c r="J11" s="71" t="n">
        <v>5</v>
      </c>
      <c r="K11" s="71" t="n">
        <v>1</v>
      </c>
      <c r="O11" s="134" t="n"/>
    </row>
    <row r="12">
      <c r="A12" s="46" t="inlineStr">
        <is>
          <t>PRICE</t>
        </is>
      </c>
      <c r="B12" s="152">
        <f>(B9*C7)</f>
        <v/>
      </c>
      <c r="C12" s="152">
        <f>(C9*C7)</f>
        <v/>
      </c>
      <c r="D12" s="152">
        <f>(D9*C7)</f>
        <v/>
      </c>
      <c r="E12" s="152">
        <f>(E9*C7)</f>
        <v/>
      </c>
      <c r="G12" s="46" t="n"/>
      <c r="H12" s="152">
        <f>(H9*I7)</f>
        <v/>
      </c>
      <c r="I12" s="152">
        <f>(I9*I7)</f>
        <v/>
      </c>
      <c r="J12" s="152">
        <f>(J9*I7)</f>
        <v/>
      </c>
      <c r="K12" s="152">
        <f>(I7*K9)</f>
        <v/>
      </c>
      <c r="M12" s="151" t="n"/>
    </row>
    <row r="13">
      <c r="A13" s="46" t="n"/>
      <c r="B13" s="45">
        <f>B11*B10</f>
        <v/>
      </c>
      <c r="C13" s="45">
        <f>C11*C10</f>
        <v/>
      </c>
      <c r="D13" s="45">
        <f>D11*D10</f>
        <v/>
      </c>
      <c r="E13" s="45">
        <f>E11*E10</f>
        <v/>
      </c>
      <c r="G13" s="46" t="n"/>
      <c r="H13" s="45">
        <f>H11*H10</f>
        <v/>
      </c>
      <c r="I13" s="45">
        <f>I11*I10</f>
        <v/>
      </c>
      <c r="J13" s="45">
        <f>J11*J10</f>
        <v/>
      </c>
      <c r="K13" s="45">
        <f>K11*K10</f>
        <v/>
      </c>
    </row>
    <row r="14">
      <c r="A14" s="49" t="inlineStr">
        <is>
          <t>MATERIAL NAME</t>
        </is>
      </c>
      <c r="B14" s="50" t="inlineStr">
        <is>
          <t>WIDE</t>
        </is>
      </c>
      <c r="C14" s="49" t="inlineStr">
        <is>
          <t xml:space="preserve">SQ PRICE </t>
        </is>
      </c>
      <c r="G14" s="49" t="inlineStr">
        <is>
          <t>MATERIAL NAME</t>
        </is>
      </c>
      <c r="H14" s="50" t="inlineStr">
        <is>
          <t>WIDE</t>
        </is>
      </c>
      <c r="I14" s="49" t="inlineStr">
        <is>
          <t xml:space="preserve">SQ PRICE </t>
        </is>
      </c>
    </row>
    <row r="15">
      <c r="A15" s="47" t="inlineStr">
        <is>
          <t xml:space="preserve">3M 680 CR w/ 8519 </t>
        </is>
      </c>
      <c r="B15" t="n">
        <v>1.22</v>
      </c>
      <c r="C15" s="54" t="n">
        <v>72</v>
      </c>
      <c r="E15" s="151">
        <f>(B15*4)*C15</f>
        <v/>
      </c>
      <c r="G15" s="47" t="inlineStr">
        <is>
          <t xml:space="preserve">3M 680 CR w/ 8519 </t>
        </is>
      </c>
      <c r="H15" t="n">
        <v>1.22</v>
      </c>
      <c r="I15" s="54" t="n">
        <v>72</v>
      </c>
      <c r="K15" s="151">
        <f>(H15*4)*I15</f>
        <v/>
      </c>
    </row>
    <row r="17">
      <c r="A17" s="46" t="inlineStr">
        <is>
          <t>Square used</t>
        </is>
      </c>
      <c r="B17" s="45">
        <f>(B15*B18)*B19</f>
        <v/>
      </c>
      <c r="C17" s="45">
        <f>(B15*C18)*C19</f>
        <v/>
      </c>
      <c r="D17" s="45">
        <f>(B15*D18)*D19</f>
        <v/>
      </c>
      <c r="E17" s="45">
        <f>(B15*E18)*E19</f>
        <v/>
      </c>
      <c r="G17" s="46" t="inlineStr">
        <is>
          <t>Square used</t>
        </is>
      </c>
      <c r="H17" s="45">
        <f>(H15*H18)*H19</f>
        <v/>
      </c>
      <c r="I17" s="45">
        <f>(H15*I18)*I19</f>
        <v/>
      </c>
      <c r="J17" s="45">
        <f>(H15*J18)*J19</f>
        <v/>
      </c>
      <c r="K17" s="45">
        <f>(H15*K18)*K19</f>
        <v/>
      </c>
    </row>
    <row r="18">
      <c r="A18" s="46" t="inlineStr">
        <is>
          <t>Lineal Metres</t>
        </is>
      </c>
      <c r="B18" s="52" t="n">
        <v>0</v>
      </c>
      <c r="C18" s="52" t="n">
        <v>0</v>
      </c>
      <c r="D18" s="52" t="n"/>
      <c r="E18" s="52" t="n"/>
      <c r="G18" s="46" t="inlineStr">
        <is>
          <t>Lineal Metres</t>
        </is>
      </c>
      <c r="H18" s="53" t="n">
        <v>0</v>
      </c>
      <c r="I18" s="53" t="n">
        <v>0.25</v>
      </c>
      <c r="J18" s="71" t="n">
        <v>0</v>
      </c>
      <c r="K18" s="71" t="n">
        <v>0</v>
      </c>
    </row>
    <row r="19">
      <c r="A19" s="46" t="inlineStr">
        <is>
          <t>RUN</t>
        </is>
      </c>
      <c r="B19" s="52" t="n">
        <v>0</v>
      </c>
      <c r="C19" s="52" t="n">
        <v>0</v>
      </c>
      <c r="D19" s="52" t="n">
        <v>0</v>
      </c>
      <c r="E19" s="52" t="n">
        <v>0</v>
      </c>
      <c r="G19" s="46" t="inlineStr">
        <is>
          <t>RUN</t>
        </is>
      </c>
      <c r="H19" s="71" t="n">
        <v>1</v>
      </c>
      <c r="I19" s="71" t="n">
        <v>1</v>
      </c>
      <c r="J19" s="71" t="n">
        <v>1</v>
      </c>
      <c r="K19" s="71" t="n">
        <v>1</v>
      </c>
    </row>
    <row r="20">
      <c r="A20" s="46" t="inlineStr">
        <is>
          <t>PRICE</t>
        </is>
      </c>
      <c r="B20" s="152">
        <f>(B17*C15)</f>
        <v/>
      </c>
      <c r="C20" s="152">
        <f>(C17*C15)</f>
        <v/>
      </c>
      <c r="D20" s="152">
        <f>(D17*C15)</f>
        <v/>
      </c>
      <c r="E20" s="152">
        <f>(E17*C15)</f>
        <v/>
      </c>
      <c r="G20" s="46" t="n"/>
      <c r="H20" s="152">
        <f>(H17*I15)</f>
        <v/>
      </c>
      <c r="I20" s="152">
        <f>(I17*I15)</f>
        <v/>
      </c>
      <c r="J20" s="152">
        <f>(J17*I15)</f>
        <v/>
      </c>
      <c r="K20" s="152">
        <f>(K17*I15)</f>
        <v/>
      </c>
    </row>
    <row r="21">
      <c r="A21" s="46" t="n"/>
      <c r="B21" s="45">
        <f>B19*B18</f>
        <v/>
      </c>
      <c r="C21" s="45">
        <f>C19*C18</f>
        <v/>
      </c>
      <c r="D21" s="45">
        <f>D19*D18</f>
        <v/>
      </c>
      <c r="E21" s="45">
        <f>E19*E18</f>
        <v/>
      </c>
      <c r="G21" s="46" t="n"/>
      <c r="H21" s="45">
        <f>H19*H18</f>
        <v/>
      </c>
      <c r="I21" s="45">
        <f>I19*I18</f>
        <v/>
      </c>
      <c r="J21" s="45">
        <f>J19*J18</f>
        <v/>
      </c>
      <c r="K21" s="45">
        <f>K19*K18</f>
        <v/>
      </c>
    </row>
    <row r="22">
      <c r="A22" s="49" t="inlineStr">
        <is>
          <t>MATERIAL NAME</t>
        </is>
      </c>
      <c r="B22" s="50" t="inlineStr">
        <is>
          <t>WIDE</t>
        </is>
      </c>
      <c r="C22" s="49" t="inlineStr">
        <is>
          <t xml:space="preserve">SQ PRICE </t>
        </is>
      </c>
      <c r="G22" s="49" t="inlineStr">
        <is>
          <t>MATERIAL NAME</t>
        </is>
      </c>
      <c r="H22" s="50" t="inlineStr">
        <is>
          <t>WIDE</t>
        </is>
      </c>
      <c r="I22" s="49" t="inlineStr">
        <is>
          <t xml:space="preserve">SQ PRICE </t>
        </is>
      </c>
    </row>
    <row r="23">
      <c r="A23" s="47" t="inlineStr">
        <is>
          <t>Perf of some name w/ Clear</t>
        </is>
      </c>
      <c r="B23" t="n">
        <v>1.37</v>
      </c>
      <c r="C23" s="54" t="n">
        <v>36</v>
      </c>
      <c r="E23" s="151">
        <f>(B23*4)*C23</f>
        <v/>
      </c>
      <c r="G23" s="47" t="inlineStr">
        <is>
          <t>Perf of some name w/ Clear</t>
        </is>
      </c>
      <c r="H23" t="n">
        <v>1.37</v>
      </c>
      <c r="I23" s="54" t="n">
        <v>36</v>
      </c>
      <c r="K23" s="151">
        <f>(H23*4)*I23</f>
        <v/>
      </c>
    </row>
    <row r="25">
      <c r="A25" s="46" t="inlineStr">
        <is>
          <t>Square used</t>
        </is>
      </c>
      <c r="B25" s="45">
        <f>(B23*B26)*B27</f>
        <v/>
      </c>
      <c r="C25" s="45">
        <f>(B23*C26)*C27</f>
        <v/>
      </c>
      <c r="D25" s="45">
        <f>(B23*D26)*D27</f>
        <v/>
      </c>
      <c r="E25" s="45">
        <f>(B23*E26)*E27</f>
        <v/>
      </c>
      <c r="G25" s="46" t="inlineStr">
        <is>
          <t>Square used</t>
        </is>
      </c>
      <c r="H25" s="45">
        <f>(H23*H26)*H27</f>
        <v/>
      </c>
      <c r="I25" s="45">
        <f>(H23*I26)*I27</f>
        <v/>
      </c>
      <c r="J25" s="45">
        <f>(H23*J26)*J27</f>
        <v/>
      </c>
      <c r="K25" s="45">
        <f>(H23*K26)*K27</f>
        <v/>
      </c>
    </row>
    <row r="26">
      <c r="A26" s="46" t="inlineStr">
        <is>
          <t>Lineal Metres</t>
        </is>
      </c>
      <c r="B26" s="53" t="n"/>
      <c r="C26" s="53" t="n"/>
      <c r="D26" s="53" t="n"/>
      <c r="E26" s="53" t="n"/>
      <c r="G26" s="46" t="inlineStr">
        <is>
          <t>Lineal Metres</t>
        </is>
      </c>
      <c r="H26" s="53" t="n"/>
      <c r="I26" s="53" t="n"/>
      <c r="J26" s="53" t="n"/>
      <c r="K26" s="53" t="n"/>
    </row>
    <row r="27">
      <c r="A27" s="46" t="inlineStr">
        <is>
          <t>RUN</t>
        </is>
      </c>
      <c r="B27" s="71" t="n"/>
      <c r="C27" s="71" t="n"/>
      <c r="D27" s="71" t="n"/>
      <c r="E27" s="71" t="n"/>
      <c r="G27" s="46" t="inlineStr">
        <is>
          <t>RUN</t>
        </is>
      </c>
      <c r="H27" s="71" t="n"/>
      <c r="I27" s="71" t="n"/>
      <c r="J27" s="71" t="n"/>
      <c r="K27" s="71" t="n"/>
    </row>
    <row r="28">
      <c r="A28" s="46" t="inlineStr">
        <is>
          <t>PRICE</t>
        </is>
      </c>
      <c r="B28" s="152">
        <f>(B25*C23)</f>
        <v/>
      </c>
      <c r="C28" s="152">
        <f>(C25*C23)</f>
        <v/>
      </c>
      <c r="D28" s="152">
        <f>(D25*C23)</f>
        <v/>
      </c>
      <c r="E28" s="152">
        <f>(E25*C23)</f>
        <v/>
      </c>
      <c r="H28" s="152">
        <f>(H25*I23)</f>
        <v/>
      </c>
      <c r="I28" s="152">
        <f>(I25*I23)</f>
        <v/>
      </c>
      <c r="J28" s="152">
        <f>(J25*I23)</f>
        <v/>
      </c>
      <c r="K28" s="152">
        <f>(K25*I23)</f>
        <v/>
      </c>
    </row>
    <row r="29">
      <c r="B29" s="45">
        <f>B27*B26</f>
        <v/>
      </c>
      <c r="C29" s="45">
        <f>C27*C26</f>
        <v/>
      </c>
      <c r="D29" s="45">
        <f>D27*D26</f>
        <v/>
      </c>
      <c r="E29" s="45">
        <f>E27*E26</f>
        <v/>
      </c>
      <c r="H29" s="45">
        <f>H27*H26</f>
        <v/>
      </c>
      <c r="I29" s="45">
        <f>I27*I26</f>
        <v/>
      </c>
      <c r="J29" s="45">
        <f>J27*J26</f>
        <v/>
      </c>
      <c r="K29" s="45">
        <f>K27*K26</f>
        <v/>
      </c>
    </row>
    <row r="31" ht="34" customHeight="1">
      <c r="A31" s="86" t="n"/>
      <c r="G31" s="62" t="inlineStr">
        <is>
          <t xml:space="preserve">ZUND SPEED - amend when needed </t>
        </is>
      </c>
      <c r="H31" s="63" t="n">
        <v>25</v>
      </c>
      <c r="I31" s="63" t="n">
        <v>25</v>
      </c>
      <c r="J31" s="63" t="n">
        <v>25</v>
      </c>
      <c r="K31" s="63" t="n">
        <v>25</v>
      </c>
    </row>
    <row r="32">
      <c r="A32" s="86" t="n"/>
    </row>
    <row r="37">
      <c r="G37" s="56" t="inlineStr">
        <is>
          <t xml:space="preserve">ZUND Speeds </t>
        </is>
      </c>
      <c r="H37" s="56" t="inlineStr">
        <is>
          <t>M per hrs</t>
        </is>
      </c>
    </row>
    <row r="38" ht="34" customHeight="1">
      <c r="G38" s="57" t="inlineStr">
        <is>
          <t>kiss cut &amp; through cut - Intricut / small</t>
        </is>
      </c>
      <c r="H38" s="58" t="inlineStr">
        <is>
          <t>9 lm</t>
        </is>
      </c>
    </row>
    <row r="39">
      <c r="G39" s="59" t="inlineStr">
        <is>
          <t xml:space="preserve">kiss cut &amp; through cut - large </t>
        </is>
      </c>
      <c r="H39" s="58" t="inlineStr">
        <is>
          <t>15 lm</t>
        </is>
      </c>
    </row>
    <row r="40">
      <c r="G40" s="59" t="inlineStr">
        <is>
          <t xml:space="preserve">kiss cut std </t>
        </is>
      </c>
      <c r="H40" s="58" t="inlineStr">
        <is>
          <t>25 lm</t>
        </is>
      </c>
    </row>
    <row r="45">
      <c r="E45" s="61" t="n"/>
    </row>
    <row r="46">
      <c r="A46" s="60" t="n"/>
    </row>
    <row r="47">
      <c r="A47" s="60" t="n"/>
    </row>
    <row r="48">
      <c r="A48" s="60" t="n"/>
    </row>
    <row r="49">
      <c r="A49" s="60" t="n"/>
    </row>
    <row r="50">
      <c r="A50" s="60" t="n"/>
    </row>
    <row r="51">
      <c r="A51" s="60" t="n"/>
    </row>
    <row r="52">
      <c r="A52" s="60" t="n"/>
    </row>
  </sheetData>
  <mergeCells count="2">
    <mergeCell ref="A2:E2"/>
    <mergeCell ref="G2:K2"/>
  </mergeCells>
  <pageMargins left="0.7" right="0.7" top="0.75" bottom="0.75" header="0.3" footer="0.3"/>
  <pageSetup orientation="portrait" paperSize="9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7"/>
  <sheetViews>
    <sheetView zoomScale="130" zoomScaleNormal="130" workbookViewId="0">
      <selection activeCell="C6" sqref="C6"/>
    </sheetView>
  </sheetViews>
  <sheetFormatPr baseColWidth="10" defaultColWidth="13.83203125" defaultRowHeight="24" customHeight="1"/>
  <cols>
    <col width="12.6640625" customWidth="1" style="44" min="1" max="1"/>
    <col width="29.5" customWidth="1" style="44" min="2" max="2"/>
    <col width="20.1640625" customWidth="1" style="44" min="3" max="3"/>
    <col width="48.6640625" customWidth="1" style="44" min="4" max="4"/>
    <col width="13.83203125" customWidth="1" style="44" min="5" max="16384"/>
  </cols>
  <sheetData>
    <row r="1" ht="45" customFormat="1" customHeight="1" s="76">
      <c r="A1" s="76" t="inlineStr">
        <is>
          <t>SUPPLIER</t>
        </is>
      </c>
      <c r="B1" s="76" t="inlineStr">
        <is>
          <t>Stock</t>
        </is>
      </c>
      <c r="C1" s="77" t="inlineStr">
        <is>
          <t>We charge out - per square metre</t>
        </is>
      </c>
      <c r="D1" s="76" t="inlineStr">
        <is>
          <t>Notes</t>
        </is>
      </c>
    </row>
    <row r="2" ht="24" customHeight="1">
      <c r="A2" s="76" t="inlineStr">
        <is>
          <t>AVERY</t>
        </is>
      </c>
      <c r="B2" s="153" t="inlineStr">
        <is>
          <t xml:space="preserve">1105 w/ 6460 pac </t>
        </is>
      </c>
      <c r="C2" s="153" t="n">
        <v>31</v>
      </c>
      <c r="D2" s="44" t="inlineStr">
        <is>
          <t>Bonnets / Roof</t>
        </is>
      </c>
    </row>
    <row r="3" ht="24" customHeight="1">
      <c r="A3" s="76" t="inlineStr">
        <is>
          <t>AVERY</t>
        </is>
      </c>
      <c r="B3" s="153" t="inlineStr">
        <is>
          <t xml:space="preserve">1105 w/ 1460z pac </t>
        </is>
      </c>
      <c r="C3" s="153" t="n">
        <v>24</v>
      </c>
      <c r="D3" s="44" t="inlineStr">
        <is>
          <t xml:space="preserve">Std vehicle wrap </t>
        </is>
      </c>
    </row>
    <row r="4" ht="24" customHeight="1">
      <c r="A4" s="76" t="inlineStr">
        <is>
          <t>AVERY</t>
        </is>
      </c>
      <c r="B4" s="153" t="inlineStr">
        <is>
          <t>1106 w/ 1460z pac</t>
        </is>
      </c>
      <c r="C4" s="153" t="n">
        <v>31</v>
      </c>
      <c r="D4" s="44" t="inlineStr">
        <is>
          <t>High tack version of 1105</t>
        </is>
      </c>
    </row>
    <row r="5" ht="24" customHeight="1">
      <c r="A5" s="76" t="inlineStr">
        <is>
          <t>AVERY</t>
        </is>
      </c>
      <c r="B5" s="153" t="inlineStr">
        <is>
          <t>1105 w/ 1060Z pac</t>
        </is>
      </c>
      <c r="C5" s="153" t="n"/>
      <c r="D5" s="44" t="inlineStr">
        <is>
          <t>Thicker lam for truck panels - ease of install</t>
        </is>
      </c>
    </row>
    <row r="6" ht="24" customHeight="1">
      <c r="A6" s="76" t="inlineStr">
        <is>
          <t>AVERY</t>
        </is>
      </c>
      <c r="B6" s="44" t="inlineStr">
        <is>
          <t>2105 w/ 2000</t>
        </is>
      </c>
      <c r="C6" s="44">
        <f>(9+6.5)*1.15</f>
        <v/>
      </c>
      <c r="D6" s="44" t="inlineStr">
        <is>
          <t>Door decals - simple flat areas - Supagas</t>
        </is>
      </c>
    </row>
    <row r="7" ht="24" customHeight="1">
      <c r="A7" s="76" t="inlineStr">
        <is>
          <t>AVERY</t>
        </is>
      </c>
      <c r="B7" s="44" t="inlineStr">
        <is>
          <t>2106 w/ 2000</t>
        </is>
      </c>
      <c r="D7" s="44" t="inlineStr">
        <is>
          <t>High tack version of 2105 - Supagas</t>
        </is>
      </c>
    </row>
    <row r="8" ht="24" customHeight="1">
      <c r="A8" s="76" t="inlineStr">
        <is>
          <t>AVERY</t>
        </is>
      </c>
      <c r="B8" s="44" t="inlineStr">
        <is>
          <t>2900 w/ 2960 (Gloss)</t>
        </is>
      </c>
      <c r="D8" s="44" t="inlineStr">
        <is>
          <t xml:space="preserve">Decals / Sticker requests </t>
        </is>
      </c>
    </row>
    <row r="9" ht="24" customHeight="1">
      <c r="A9" s="76" t="inlineStr">
        <is>
          <t>AVERY</t>
        </is>
      </c>
      <c r="B9" s="44" t="inlineStr">
        <is>
          <t>2900 w/ 2980 (Matt)</t>
        </is>
      </c>
      <c r="D9" s="44" t="inlineStr">
        <is>
          <t xml:space="preserve">Decals / Sticker requests </t>
        </is>
      </c>
    </row>
    <row r="10" ht="24" customHeight="1">
      <c r="A10" s="76" t="inlineStr">
        <is>
          <t>AVERY</t>
        </is>
      </c>
      <c r="B10" s="44" t="inlineStr">
        <is>
          <t>2904 (rem) w/ 2960 (Gloss)</t>
        </is>
      </c>
      <c r="C10" s="73" t="n"/>
      <c r="D10" s="44" t="inlineStr">
        <is>
          <t xml:space="preserve">Decals / Sticker requests </t>
        </is>
      </c>
    </row>
    <row r="11" ht="24" customHeight="1">
      <c r="A11" s="76" t="inlineStr">
        <is>
          <t>AVERY</t>
        </is>
      </c>
      <c r="B11" s="44" t="inlineStr">
        <is>
          <t>2904 (rem) w/ 2980 (Matt)</t>
        </is>
      </c>
      <c r="C11" s="73" t="n"/>
      <c r="D11" s="44" t="inlineStr">
        <is>
          <t xml:space="preserve">Decals / Sticker requests </t>
        </is>
      </c>
    </row>
    <row r="12" ht="24" customHeight="1">
      <c r="A12" s="76" t="inlineStr">
        <is>
          <t>AVERY</t>
        </is>
      </c>
      <c r="B12" s="44" t="inlineStr">
        <is>
          <t>2923 (HT) w/ 2960 (Gloss)</t>
        </is>
      </c>
      <c r="D12" s="44" t="inlineStr">
        <is>
          <t xml:space="preserve">Decals / Sticker requests </t>
        </is>
      </c>
    </row>
    <row r="13" ht="24" customHeight="1">
      <c r="A13" s="76" t="inlineStr">
        <is>
          <t>AVERY</t>
        </is>
      </c>
      <c r="B13" s="44" t="inlineStr">
        <is>
          <t>2923 (HT) w/ 2980 (Matt)</t>
        </is>
      </c>
      <c r="D13" s="44" t="inlineStr">
        <is>
          <t xml:space="preserve">Decals / Sticker requests </t>
        </is>
      </c>
    </row>
    <row r="14" ht="24" customHeight="1">
      <c r="A14" s="76" t="inlineStr">
        <is>
          <t>AVERY</t>
        </is>
      </c>
      <c r="B14" s="74" t="inlineStr">
        <is>
          <t>DOL 4530 (Anti Graf) - SL4530</t>
        </is>
      </c>
      <c r="C14" s="154" t="n">
        <v>752.51</v>
      </c>
      <c r="D14" s="44" t="inlineStr">
        <is>
          <t>Overlaminate stock code now</t>
        </is>
      </c>
    </row>
    <row r="15" ht="24" customHeight="1">
      <c r="B15" s="135" t="inlineStr">
        <is>
          <t>Clarification:</t>
        </is>
      </c>
    </row>
    <row r="16" ht="24" customHeight="1">
      <c r="B16" s="136" t="n"/>
    </row>
    <row r="17" ht="24" customHeight="1">
      <c r="B17" s="136" t="n"/>
    </row>
    <row r="18" ht="24" customHeight="1">
      <c r="B18" s="136" t="n"/>
    </row>
    <row r="19" ht="24" customHeight="1">
      <c r="B19" s="137" t="n"/>
    </row>
    <row r="20" ht="24" customHeight="1">
      <c r="B20" s="74" t="n"/>
    </row>
    <row r="21" ht="24" customHeight="1">
      <c r="B21" s="74" t="n"/>
    </row>
    <row r="41" ht="24" customHeight="1">
      <c r="A41" s="78" t="inlineStr">
        <is>
          <t>LABEL CONCEPTS PTY L</t>
        </is>
      </c>
      <c r="B41" s="79" t="n">
        <v>333113</v>
      </c>
      <c r="C41" s="78" t="inlineStr">
        <is>
          <t>A002539</t>
        </is>
      </c>
      <c r="D41" s="80" t="inlineStr">
        <is>
          <t>MPI 2105 GL WH EA RS LTR_1.372M X 45.7M</t>
        </is>
      </c>
      <c r="E41" s="155">
        <f>IFERROR(VLOOKUP(C41,'[1]June GSAC'!C:L,10,0),0)</f>
        <v/>
      </c>
      <c r="F41" s="156">
        <f>IFERROR(VLOOKUP(C41,'[1]Jul GSAC'!C:L,10,0),0)</f>
        <v/>
      </c>
      <c r="H41" s="157" t="n"/>
      <c r="I41" s="157" t="n"/>
    </row>
    <row r="42" ht="24" customHeight="1">
      <c r="A42" s="78" t="inlineStr">
        <is>
          <t>LABEL CONCEPTS PTY L</t>
        </is>
      </c>
      <c r="B42" s="79" t="n">
        <v>333113</v>
      </c>
      <c r="C42" s="78" t="inlineStr">
        <is>
          <t>A005632</t>
        </is>
      </c>
      <c r="D42" s="80" t="inlineStr">
        <is>
          <t>DOL 6460 GC PU PER PET_1.372M X 45.7M</t>
        </is>
      </c>
      <c r="E42" s="155" t="n">
        <v>1063.96</v>
      </c>
      <c r="F42" s="156" t="n">
        <v>1095.88</v>
      </c>
      <c r="H42" s="157" t="n"/>
      <c r="I42" s="157" t="n"/>
    </row>
    <row r="43" ht="24" customHeight="1">
      <c r="A43" s="78" t="inlineStr">
        <is>
          <t>LABEL CONCEPTS PTY L</t>
        </is>
      </c>
      <c r="B43" s="79" t="n">
        <v>333113</v>
      </c>
      <c r="C43" s="78" t="inlineStr">
        <is>
          <t>A006091</t>
        </is>
      </c>
      <c r="D43" s="80" t="inlineStr">
        <is>
          <t>MPI 1105 EA RS LTR GW PE_1.524M X 45.7M</t>
        </is>
      </c>
      <c r="E43" s="155" t="n">
        <v>618.83</v>
      </c>
      <c r="F43" s="156" t="n">
        <v>637.39</v>
      </c>
      <c r="H43" s="157" t="n"/>
      <c r="I43" s="157" t="n"/>
    </row>
    <row r="44" ht="24" customHeight="1">
      <c r="A44" s="78" t="inlineStr">
        <is>
          <t>LABEL CONCEPTS PTY L</t>
        </is>
      </c>
      <c r="B44" s="79" t="n">
        <v>333113</v>
      </c>
      <c r="C44" s="78" t="inlineStr">
        <is>
          <t>A006094</t>
        </is>
      </c>
      <c r="D44" s="80" t="inlineStr">
        <is>
          <t>MPI 1105 EA RS LTR GW PE_1.372M X 45.7M</t>
        </is>
      </c>
      <c r="E44" s="155" t="n">
        <v>553.96</v>
      </c>
      <c r="F44" s="156" t="n">
        <v>570.58</v>
      </c>
      <c r="G44" t="inlineStr">
        <is>
          <t>1460zpac2 - 1520</t>
        </is>
      </c>
      <c r="H44" s="157" t="n"/>
      <c r="I44" s="157" t="n"/>
    </row>
    <row r="45" ht="24" customHeight="1">
      <c r="A45" s="78" t="inlineStr">
        <is>
          <t>LABEL CONCEPTS PTY L</t>
        </is>
      </c>
      <c r="B45" s="79" t="n">
        <v>333113</v>
      </c>
      <c r="C45" s="78" t="inlineStr">
        <is>
          <t>A006170</t>
        </is>
      </c>
      <c r="D45" s="80" t="inlineStr">
        <is>
          <t>DOL 1460Z GL TRAN PER PET_1.524M X 45.7M</t>
        </is>
      </c>
      <c r="E45" s="155" t="n">
        <v>767.87</v>
      </c>
      <c r="F45" s="156" t="n">
        <v>790.91</v>
      </c>
      <c r="G45" s="158">
        <f>F45+F43</f>
        <v/>
      </c>
      <c r="H45" s="157" t="n"/>
      <c r="I45" s="157" t="n"/>
    </row>
    <row r="46" ht="24" customHeight="1">
      <c r="A46" s="78" t="inlineStr">
        <is>
          <t>LABEL CONCEPTS PTY L</t>
        </is>
      </c>
      <c r="B46" s="79" t="n">
        <v>333113</v>
      </c>
      <c r="C46" s="78" t="inlineStr">
        <is>
          <t>A006171</t>
        </is>
      </c>
      <c r="D46" s="80" t="inlineStr">
        <is>
          <t>DOL 1460Z GL TRAN PER PET_1.372M X 45.7M</t>
        </is>
      </c>
      <c r="E46" s="155" t="n">
        <v>693.27</v>
      </c>
      <c r="F46" s="156" t="n">
        <v>714.0700000000001</v>
      </c>
      <c r="G46" t="inlineStr">
        <is>
          <t>6460zpac2 - 1520</t>
        </is>
      </c>
      <c r="H46" s="157" t="n"/>
      <c r="I46" s="157" t="n"/>
    </row>
    <row r="47" ht="24" customHeight="1">
      <c r="A47" s="78" t="inlineStr">
        <is>
          <t>LABEL CONCEPTS PTY L</t>
        </is>
      </c>
      <c r="B47" s="79" t="n">
        <v>333113</v>
      </c>
      <c r="C47" s="78" t="inlineStr">
        <is>
          <t>CE3370264</t>
        </is>
      </c>
      <c r="D47" s="80" t="inlineStr">
        <is>
          <t>SL 4530 ANTI GRAFFITI_1.37M X 50M</t>
        </is>
      </c>
      <c r="E47" s="155" t="n">
        <v>752.51</v>
      </c>
      <c r="F47" s="156" t="n">
        <v>752.51</v>
      </c>
      <c r="G47" s="158" t="n">
        <v>1849</v>
      </c>
      <c r="H47" s="157">
        <f>G47*11</f>
        <v/>
      </c>
      <c r="I47" s="157">
        <f>H47*1.15</f>
        <v/>
      </c>
    </row>
    <row r="48" ht="24" customHeight="1">
      <c r="A48" s="78" t="inlineStr">
        <is>
          <t>LABEL CONCEPTS PTY L</t>
        </is>
      </c>
      <c r="B48" s="79" t="n">
        <v>333113</v>
      </c>
      <c r="C48" s="78" t="inlineStr">
        <is>
          <t>CE3600012</t>
        </is>
      </c>
      <c r="D48" s="80" t="inlineStr">
        <is>
          <t>DOL 2000 GL TRANS PER KR_1.37M X 45M</t>
        </is>
      </c>
      <c r="E48" s="155">
        <f>IFERROR(VLOOKUP(C48,'[1]June GSAC'!C:L,10,0),0)</f>
        <v/>
      </c>
      <c r="F48" s="156">
        <f>IFERROR(VLOOKUP(C48,'[1]Jul GSAC'!C:L,10,0),0)</f>
        <v/>
      </c>
      <c r="H48" s="157" t="n"/>
      <c r="I48" s="157" t="n"/>
    </row>
    <row r="49" ht="24" customHeight="1">
      <c r="A49" s="78" t="inlineStr">
        <is>
          <t>LABEL CONCEPTS PTY L</t>
        </is>
      </c>
      <c r="B49" s="79" t="n">
        <v>333113</v>
      </c>
      <c r="C49" s="78" t="inlineStr">
        <is>
          <t>CE581.760</t>
        </is>
      </c>
      <c r="D49" s="78" t="inlineStr">
        <is>
          <t>400 GLOSS WHITE PERM KR1000MM X 760MM SHEET</t>
        </is>
      </c>
      <c r="E49" s="155">
        <f>IFERROR(VLOOKUP(C49,'[1]June GSAC'!C:L,10,0),0)</f>
        <v/>
      </c>
      <c r="F49" s="156">
        <f>IFERROR(VLOOKUP(C49,'[1]Jul GSAC'!C:L,10,0),0)</f>
        <v/>
      </c>
      <c r="H49" s="157" t="n"/>
      <c r="I49" s="157" t="n"/>
    </row>
    <row r="51" ht="24" customHeight="1">
      <c r="G51" s="159">
        <f>(G47/1.37)*1.52</f>
        <v/>
      </c>
    </row>
    <row r="53" ht="24" customHeight="1">
      <c r="C53" s="87" t="inlineStr">
        <is>
          <t>The 3m product we recommend for anti graffiti is the 8993 hi gloss 1370x50m</t>
        </is>
      </c>
    </row>
    <row r="54" ht="24" customHeight="1"/>
    <row r="55" ht="24" customHeight="1">
      <c r="C55" s="87" t="inlineStr">
        <is>
          <t>Roll price is $1344.00</t>
        </is>
      </c>
    </row>
    <row r="56" ht="24" customHeight="1">
      <c r="C56" s="87" t="inlineStr">
        <is>
          <t xml:space="preserve">$26.88 per lm </t>
        </is>
      </c>
    </row>
    <row r="57" ht="24" customHeight="1">
      <c r="C57" s="87" t="inlineStr">
        <is>
          <t xml:space="preserve">Ex gst 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27" sqref="A27:XFD27"/>
    </sheetView>
  </sheetViews>
  <sheetFormatPr baseColWidth="10" defaultColWidth="10.83203125" defaultRowHeight="24"/>
  <cols>
    <col width="10.83203125" customWidth="1" style="65" min="1" max="16384"/>
  </cols>
  <sheetData>
    <row r="1">
      <c r="A1" s="64" t="inlineStr">
        <is>
          <t>Hi All,</t>
        </is>
      </c>
    </row>
    <row r="3">
      <c r="A3" s="64" t="inlineStr">
        <is>
          <t>Please see below updated rates for all quotes - note these are the bare minimum to charge, and particularly on small decal runs etc, I would expect you to add extra to cover the messing around.</t>
        </is>
      </c>
    </row>
    <row r="6">
      <c r="A6" s="66" t="inlineStr">
        <is>
          <t>New item:</t>
        </is>
      </c>
    </row>
    <row r="8">
      <c r="A8" s="64" t="inlineStr">
        <is>
          <t>On all quotes, charge a separate amount of $94 plus GST for File Set up. This is shown to clients as a separate, one off charge to their quotation.</t>
        </is>
      </c>
    </row>
    <row r="10">
      <c r="A10" s="66" t="inlineStr">
        <is>
          <t>Art/Pre-Press</t>
        </is>
      </c>
    </row>
    <row r="11">
      <c r="A11" s="64" t="inlineStr">
        <is>
          <t xml:space="preserve">The $85 is a bare minimum for one hours Pre-Press work, that has no design. </t>
        </is>
      </c>
    </row>
    <row r="12">
      <c r="A12" s="64" t="inlineStr">
        <is>
          <t xml:space="preserve">Note for complex jobs, this should be charged on the estimated number of hours required to design, edit and set up for print - many hundreds of dollars should be charged for full wraps, with no design. </t>
        </is>
      </c>
    </row>
    <row r="14">
      <c r="A14" s="66" t="inlineStr">
        <is>
          <t>Stock</t>
        </is>
      </c>
    </row>
    <row r="15">
      <c r="A15" s="64" t="inlineStr">
        <is>
          <t xml:space="preserve">Allow 4 linear metres for waste - take up on the roller, collection at the end. </t>
        </is>
      </c>
    </row>
    <row r="16">
      <c r="A16" s="64" t="inlineStr">
        <is>
          <t xml:space="preserve">Again, this is a minimum - for larger run work, allow 5% waste on top for other errors. </t>
        </is>
      </c>
    </row>
    <row r="18">
      <c r="A18" s="66" t="inlineStr">
        <is>
          <t>Print</t>
        </is>
      </c>
    </row>
    <row r="19">
      <c r="A19" s="64" t="inlineStr">
        <is>
          <t>Set up fee now $125</t>
        </is>
      </c>
    </row>
    <row r="20">
      <c r="A20" s="64" t="inlineStr">
        <is>
          <t>Run time - now 45 metres an hour.</t>
        </is>
      </c>
    </row>
    <row r="22">
      <c r="A22" s="66" t="inlineStr">
        <is>
          <t>Laminate</t>
        </is>
      </c>
    </row>
    <row r="23">
      <c r="A23" s="64" t="inlineStr">
        <is>
          <t>Set up fee now $45</t>
        </is>
      </c>
    </row>
    <row r="24">
      <c r="A24" s="64" t="inlineStr">
        <is>
          <t>Run time - now 35 metres an hour.</t>
        </is>
      </c>
    </row>
    <row r="26">
      <c r="A26" s="66" t="inlineStr">
        <is>
          <t>Zund</t>
        </is>
      </c>
    </row>
    <row r="27">
      <c r="A27" s="64" t="inlineStr">
        <is>
          <t>Set up fee now $45</t>
        </is>
      </c>
    </row>
    <row r="28">
      <c r="A28" s="64" t="inlineStr">
        <is>
          <t>Basic Run time - now 45 metres an hour.</t>
        </is>
      </c>
    </row>
    <row r="29">
      <c r="A29" s="66" t="inlineStr">
        <is>
          <t>Pack</t>
        </is>
      </c>
    </row>
    <row r="31">
      <c r="A31" s="64" t="inlineStr">
        <is>
          <t>Minimum $45</t>
        </is>
      </c>
    </row>
    <row r="34">
      <c r="A34" s="66" t="inlineStr">
        <is>
          <t>Delivery</t>
        </is>
      </c>
    </row>
    <row r="36">
      <c r="A36" s="64" t="inlineStr">
        <is>
          <t>Minimum $45</t>
        </is>
      </c>
    </row>
    <row r="39">
      <c r="A39" s="67" t="inlineStr">
        <is>
          <t>All other items remain the same.</t>
        </is>
      </c>
    </row>
    <row r="40">
      <c r="A40" s="64" t="n"/>
    </row>
    <row r="41">
      <c r="A41" s="64" t="n"/>
    </row>
    <row r="42">
      <c r="A42" s="64" t="n"/>
    </row>
    <row r="43">
      <c r="A43" s="64" t="n"/>
    </row>
    <row r="44">
      <c r="A44" s="64" t="n"/>
    </row>
    <row r="45">
      <c r="A45" s="68" t="inlineStr">
        <is>
          <t>Mark McEwan</t>
        </is>
      </c>
    </row>
    <row r="46">
      <c r="A46" s="69" t="inlineStr">
        <is>
          <t>Director</t>
        </is>
      </c>
    </row>
    <row r="47">
      <c r="A47" s="68" t="inlineStr">
        <is>
          <t>M</t>
        </is>
      </c>
      <c r="B47" s="70" t="inlineStr">
        <is>
          <t>0418 424 231</t>
        </is>
      </c>
    </row>
    <row r="48">
      <c r="A48" s="70" t="inlineStr">
        <is>
          <t>labelconcepts.com.au</t>
        </is>
      </c>
    </row>
    <row r="49">
      <c r="A49" s="64" t="n"/>
    </row>
  </sheetData>
  <hyperlinks>
    <hyperlink xmlns:r="http://schemas.openxmlformats.org/officeDocument/2006/relationships" ref="B47" display="tel:0418 424 231" r:id="rId1"/>
    <hyperlink xmlns:r="http://schemas.openxmlformats.org/officeDocument/2006/relationships" ref="A48" display="https://labelconcepts.com.au/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Samantha Kirkham</dc:creator>
  <dcterms:created xmlns:dcterms="http://purl.org/dc/terms/" xmlns:xsi="http://www.w3.org/2001/XMLSchema-instance" xsi:type="dcterms:W3CDTF">2014-08-29T05:26:57Z</dcterms:created>
  <dcterms:modified xmlns:dcterms="http://purl.org/dc/terms/" xmlns:xsi="http://www.w3.org/2001/XMLSchema-instance" xsi:type="dcterms:W3CDTF">2026-10-15T00:52:18Z</dcterms:modified>
  <cp:lastModifiedBy>Sam Kirkham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0x0101003FE630DE6F497643B2E4444171902CC8</vt:lpwstr>
  </property>
  <property name="MediaServiceImageTags" fmtid="{D5CDD505-2E9C-101B-9397-08002B2CF9AE}" pid="3">
    <vt:lpwstr xmlns:vt="http://schemas.openxmlformats.org/officeDocument/2006/docPropsVTypes"/>
  </property>
</Properties>
</file>